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nwadiaru\Downloads\"/>
    </mc:Choice>
  </mc:AlternateContent>
  <bookViews>
    <workbookView xWindow="0" yWindow="0" windowWidth="28800" windowHeight="12015"/>
  </bookViews>
  <sheets>
    <sheet name="Phase 1 RISK EXPOSURE CAL." sheetId="1" r:id="rId1"/>
    <sheet name="Phase 2  Control Evaluation" sheetId="2" r:id="rId2"/>
    <sheet name="Phase 3  Executive Reporting" sheetId="4" r:id="rId3"/>
    <sheet name="Executive Dashboard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7" i="2" l="1"/>
  <c r="E46" i="2"/>
  <c r="E45" i="2"/>
  <c r="C12" i="2"/>
  <c r="C11" i="2"/>
  <c r="C10" i="2"/>
  <c r="D4" i="2"/>
  <c r="B12" i="2" s="1"/>
  <c r="E12" i="2" s="1"/>
  <c r="C4" i="2"/>
  <c r="B11" i="2" s="1"/>
  <c r="E11" i="2" s="1"/>
  <c r="B4" i="2"/>
  <c r="B10" i="2" s="1"/>
  <c r="B58" i="1"/>
  <c r="B57" i="1"/>
  <c r="B56" i="1"/>
  <c r="D27" i="1"/>
  <c r="D26" i="1"/>
  <c r="C26" i="1"/>
  <c r="B26" i="1"/>
  <c r="D25" i="1"/>
  <c r="C25" i="1"/>
  <c r="B25" i="1"/>
  <c r="D24" i="1"/>
  <c r="C24" i="1"/>
  <c r="D17" i="1"/>
  <c r="C17" i="1"/>
  <c r="B17" i="1"/>
  <c r="E10" i="2" l="1"/>
  <c r="D10" i="2"/>
  <c r="B32" i="2" s="1"/>
  <c r="D11" i="2"/>
  <c r="B33" i="2" s="1"/>
  <c r="D12" i="2"/>
  <c r="B34" i="2" s="1"/>
</calcChain>
</file>

<file path=xl/sharedStrings.xml><?xml version="1.0" encoding="utf-8"?>
<sst xmlns="http://schemas.openxmlformats.org/spreadsheetml/2006/main" count="183" uniqueCount="134">
  <si>
    <t>DATASET:MOBILE BANKING PLATFORM ASSESSMENT</t>
  </si>
  <si>
    <t>Platform</t>
  </si>
  <si>
    <t>"SecureMobile" banking application</t>
  </si>
  <si>
    <t>User Base</t>
  </si>
  <si>
    <t>Average Transaction</t>
  </si>
  <si>
    <t>Daily Transactions</t>
  </si>
  <si>
    <t>Critical Finding 1: API Authentication Bypass</t>
  </si>
  <si>
    <t>Exploit Probability</t>
  </si>
  <si>
    <t>Systems Affected</t>
  </si>
  <si>
    <t>Transaction processing system</t>
  </si>
  <si>
    <t>Potential Impact</t>
  </si>
  <si>
    <t>Unauthorized fund transfers</t>
  </si>
  <si>
    <t>Maximum Single Incident Loss</t>
  </si>
  <si>
    <t>Estimated Detection</t>
  </si>
  <si>
    <t>Critical Finding 2: Database Injection Vulnerability</t>
  </si>
  <si>
    <t>Customer database</t>
  </si>
  <si>
    <t>Data breach (PII + financial data)</t>
  </si>
  <si>
    <t>Records at Risk</t>
  </si>
  <si>
    <t>Cost per Record</t>
  </si>
  <si>
    <t>Critical Finding 3: Session Hijacking</t>
  </si>
  <si>
    <t>User sessions</t>
  </si>
  <si>
    <t>Account takeover</t>
  </si>
  <si>
    <t>Accounts at Risk</t>
  </si>
  <si>
    <t>Average Loss per Account</t>
  </si>
  <si>
    <t>Cost</t>
  </si>
  <si>
    <t>Effectiveness</t>
  </si>
  <si>
    <t>Maintenance (Year)</t>
  </si>
  <si>
    <t>Advanced API Security Gateway</t>
  </si>
  <si>
    <t>Web Application Firewall (WAF)</t>
  </si>
  <si>
    <t>Multi-Factor Authentication Enhancement</t>
  </si>
  <si>
    <t>Parameters</t>
  </si>
  <si>
    <t>CONTROL OPTIONS</t>
  </si>
  <si>
    <t>Phase 1: Risk Exposure Calculation</t>
  </si>
  <si>
    <t>Task 1: Calculate Annualized Loss Expectancy (ALE = SLE x ARO)</t>
  </si>
  <si>
    <t>ALE</t>
  </si>
  <si>
    <t>SLE</t>
  </si>
  <si>
    <t>ARO</t>
  </si>
  <si>
    <t>—</t>
  </si>
  <si>
    <t>Total ALE</t>
  </si>
  <si>
    <t>PRIORITY</t>
  </si>
  <si>
    <t>Medium</t>
  </si>
  <si>
    <t>High</t>
  </si>
  <si>
    <t>Task 2: Prioritize Risks</t>
  </si>
  <si>
    <t>Database injection</t>
  </si>
  <si>
    <t>Session hijacking</t>
  </si>
  <si>
    <t>API authentication bypass</t>
  </si>
  <si>
    <t>Vulnerability</t>
  </si>
  <si>
    <t>Task 3: Create Risk Visualization</t>
  </si>
  <si>
    <t>A: Create a Bar Chart</t>
  </si>
  <si>
    <t>B: Create a Pie Chart showing risk distribution</t>
  </si>
  <si>
    <t>API bypass</t>
  </si>
  <si>
    <t>Distibution</t>
  </si>
  <si>
    <t xml:space="preserve">C: Risk heat map </t>
  </si>
  <si>
    <t>Risk</t>
  </si>
  <si>
    <t>Likelihood</t>
  </si>
  <si>
    <t>Impact</t>
  </si>
  <si>
    <t>Risk Rating</t>
  </si>
  <si>
    <t>Risk Score</t>
  </si>
  <si>
    <t>Low</t>
  </si>
  <si>
    <t>Legend</t>
  </si>
  <si>
    <t>5 - Almost certain</t>
  </si>
  <si>
    <t>4 - Likely</t>
  </si>
  <si>
    <t>3 - Possible</t>
  </si>
  <si>
    <t>2 - Unlikely</t>
  </si>
  <si>
    <t>1 - Rare</t>
  </si>
  <si>
    <t>Likelihood/impact</t>
  </si>
  <si>
    <t>Medium: 5 - 9</t>
  </si>
  <si>
    <t>High: 10 -15</t>
  </si>
  <si>
    <t>Critical: 16 - 25</t>
  </si>
  <si>
    <t>Low: 1-2</t>
  </si>
  <si>
    <t>Low: 2-3</t>
  </si>
  <si>
    <t xml:space="preserve"> </t>
  </si>
  <si>
    <t>Phase 2: Control Evaluation</t>
  </si>
  <si>
    <t>Task 4: Cost-Benefit Analysis</t>
  </si>
  <si>
    <t>Control 1. Advanced API Security Gateway</t>
  </si>
  <si>
    <t>Annual risk reduction</t>
  </si>
  <si>
    <t>First-year cost.</t>
  </si>
  <si>
    <t>First-year ROI.</t>
  </si>
  <si>
    <t>Control 2. Web Application Firewall (WAF)</t>
  </si>
  <si>
    <t>Control 3. Multi-Factor Authentication (MFA) Enhancement</t>
  </si>
  <si>
    <t>Payback period (Years)</t>
  </si>
  <si>
    <t>Approximately 6.7 months.</t>
  </si>
  <si>
    <t>Approximately 2.4 days</t>
  </si>
  <si>
    <t>Approximately 25.9 days</t>
  </si>
  <si>
    <t>Task 5: Control Selection Analysis</t>
  </si>
  <si>
    <t>Control</t>
  </si>
  <si>
    <t>Effectiveness (%)</t>
  </si>
  <si>
    <t>Investment Cost ($)</t>
  </si>
  <si>
    <t>API Security Gateway</t>
  </si>
  <si>
    <t>MFA Enhancement</t>
  </si>
  <si>
    <t>A. Create a scatter plot showing cost vs. effectiveness of controls</t>
  </si>
  <si>
    <t>B. Generate a bar chart comparing ROI for all controls</t>
  </si>
  <si>
    <t>First-Year ROI (%)</t>
  </si>
  <si>
    <t>C: Develop a line graph showing risk reduction over time</t>
  </si>
  <si>
    <t>Year</t>
  </si>
  <si>
    <t>API Gateway</t>
  </si>
  <si>
    <t>WAF</t>
  </si>
  <si>
    <t>MFA</t>
  </si>
  <si>
    <t>Combined</t>
  </si>
  <si>
    <t>Phase 3: Executive Reporting</t>
  </si>
  <si>
    <t>The top three risks</t>
  </si>
  <si>
    <t>Probability</t>
  </si>
  <si>
    <t>Database Injection</t>
  </si>
  <si>
    <t>$125,000,000</t>
  </si>
  <si>
    <t>$31,250,000</t>
  </si>
  <si>
    <t>Session Hijacking</t>
  </si>
  <si>
    <t>$7,500,000</t>
  </si>
  <si>
    <t>$3,000,000</t>
  </si>
  <si>
    <t>API Authentication Bypass</t>
  </si>
  <si>
    <t>$5,000,000</t>
  </si>
  <si>
    <t>$750,000</t>
  </si>
  <si>
    <t>Risk exposure before/after controls chart</t>
  </si>
  <si>
    <t>Before Controls</t>
  </si>
  <si>
    <t>After Controls</t>
  </si>
  <si>
    <t>Create the Control Investment Breakdown (Stacked Bar Chart)</t>
  </si>
  <si>
    <t>Security Control</t>
  </si>
  <si>
    <t>Initial Investment</t>
  </si>
  <si>
    <t>Annual Maintenance</t>
  </si>
  <si>
    <t>Total</t>
  </si>
  <si>
    <t>Create the ROI Comparison (Horizontal Bar Chart)</t>
  </si>
  <si>
    <t>Create the Gantt chart data table</t>
  </si>
  <si>
    <t>Activity</t>
  </si>
  <si>
    <t>Start Day</t>
  </si>
  <si>
    <t>Duration (Days)</t>
  </si>
  <si>
    <t>Validate findings and assess exposure</t>
  </si>
  <si>
    <t>Apply immediate containment measures</t>
  </si>
  <si>
    <t>Remediate database injection vulnerability</t>
  </si>
  <si>
    <t>Deploy and configure WAF</t>
  </si>
  <si>
    <t>Implement MFA enhancement</t>
  </si>
  <si>
    <t>Deploy API Security Gateway</t>
  </si>
  <si>
    <t>Conduct security testing and retesting</t>
  </si>
  <si>
    <t>Review residual risks and control effectiveness</t>
  </si>
  <si>
    <t>Monitor KRIs and review control performance</t>
  </si>
  <si>
    <t>Task 7: Risk Treatment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</si>
</sst>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_-;\-* #,##0_-;_-* &quot;-&quot;??_-;_-@_-"/>
    <numFmt numFmtId="165" formatCode="[$$-C09]#,##0"/>
    <numFmt numFmtId="166" formatCode="_-* #,##0.0000_-;\-* #,##0.0000_-;_-* &quot;-&quot;??_-;_-@_-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3" fontId="3" fillId="0" borderId="2" xfId="0" applyNumberFormat="1" applyFont="1" applyBorder="1"/>
    <xf numFmtId="0" fontId="3" fillId="0" borderId="1" xfId="0" applyFont="1" applyBorder="1"/>
    <xf numFmtId="0" fontId="3" fillId="0" borderId="3" xfId="0" applyFont="1" applyBorder="1"/>
    <xf numFmtId="3" fontId="3" fillId="0" borderId="4" xfId="0" applyNumberFormat="1" applyFont="1" applyBorder="1"/>
    <xf numFmtId="0" fontId="3" fillId="0" borderId="1" xfId="0" applyFont="1" applyBorder="1" applyAlignment="1">
      <alignment wrapText="1"/>
    </xf>
    <xf numFmtId="3" fontId="3" fillId="0" borderId="2" xfId="0" applyNumberFormat="1" applyFont="1" applyBorder="1" applyAlignment="1">
      <alignment horizontal="right" vertical="center" indent="1"/>
    </xf>
    <xf numFmtId="0" fontId="0" fillId="0" borderId="0" xfId="0" applyBorder="1"/>
    <xf numFmtId="0" fontId="5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3" fontId="5" fillId="0" borderId="1" xfId="0" applyNumberFormat="1" applyFont="1" applyBorder="1" applyAlignment="1">
      <alignment horizontal="right" vertical="center" indent="1"/>
    </xf>
    <xf numFmtId="0" fontId="5" fillId="0" borderId="1" xfId="0" applyFont="1" applyBorder="1" applyAlignment="1">
      <alignment horizontal="left" vertical="center" wrapText="1" indent="1"/>
    </xf>
    <xf numFmtId="3" fontId="0" fillId="0" borderId="1" xfId="0" applyNumberFormat="1" applyBorder="1"/>
    <xf numFmtId="164" fontId="0" fillId="0" borderId="0" xfId="1" applyNumberFormat="1" applyFont="1"/>
    <xf numFmtId="0" fontId="6" fillId="0" borderId="1" xfId="0" applyFont="1" applyBorder="1" applyAlignment="1">
      <alignment horizontal="left" vertical="center" wrapText="1"/>
    </xf>
    <xf numFmtId="164" fontId="0" fillId="0" borderId="1" xfId="1" applyNumberFormat="1" applyFont="1" applyBorder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6" fillId="0" borderId="1" xfId="0" applyFont="1" applyBorder="1" applyAlignment="1">
      <alignment horizontal="center" wrapText="1"/>
    </xf>
    <xf numFmtId="0" fontId="0" fillId="0" borderId="1" xfId="1" applyNumberFormat="1" applyFont="1" applyBorder="1"/>
    <xf numFmtId="164" fontId="0" fillId="0" borderId="1" xfId="0" applyNumberFormat="1" applyBorder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165" fontId="0" fillId="0" borderId="1" xfId="0" applyNumberFormat="1" applyBorder="1"/>
    <xf numFmtId="0" fontId="6" fillId="2" borderId="0" xfId="0" applyFont="1" applyFill="1" applyBorder="1" applyAlignment="1">
      <alignment vertical="center" wrapText="1"/>
    </xf>
    <xf numFmtId="0" fontId="7" fillId="0" borderId="1" xfId="0" applyFont="1" applyBorder="1"/>
    <xf numFmtId="2" fontId="0" fillId="0" borderId="1" xfId="0" applyNumberFormat="1" applyBorder="1"/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4" borderId="1" xfId="0" applyFill="1" applyBorder="1"/>
    <xf numFmtId="0" fontId="0" fillId="8" borderId="1" xfId="0" applyFill="1" applyBorder="1"/>
    <xf numFmtId="0" fontId="3" fillId="0" borderId="4" xfId="0" applyFont="1" applyBorder="1" applyAlignment="1">
      <alignment wrapText="1"/>
    </xf>
    <xf numFmtId="0" fontId="0" fillId="0" borderId="1" xfId="0" applyBorder="1" applyAlignment="1">
      <alignment wrapText="1"/>
    </xf>
    <xf numFmtId="43" fontId="0" fillId="0" borderId="1" xfId="2" applyNumberFormat="1" applyFont="1" applyBorder="1"/>
    <xf numFmtId="43" fontId="0" fillId="0" borderId="1" xfId="0" applyNumberFormat="1" applyBorder="1"/>
    <xf numFmtId="43" fontId="0" fillId="0" borderId="1" xfId="1" applyFont="1" applyBorder="1"/>
    <xf numFmtId="166" fontId="0" fillId="0" borderId="1" xfId="0" applyNumberFormat="1" applyBorder="1"/>
    <xf numFmtId="43" fontId="0" fillId="0" borderId="1" xfId="1" applyNumberFormat="1" applyFont="1" applyBorder="1"/>
    <xf numFmtId="0" fontId="7" fillId="0" borderId="1" xfId="0" applyFont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9" xfId="0" applyBorder="1"/>
    <xf numFmtId="9" fontId="0" fillId="0" borderId="9" xfId="0" applyNumberFormat="1" applyBorder="1"/>
    <xf numFmtId="0" fontId="8" fillId="0" borderId="0" xfId="0" applyFont="1" applyBorder="1" applyAlignment="1">
      <alignment horizontal="left"/>
    </xf>
    <xf numFmtId="0" fontId="7" fillId="0" borderId="10" xfId="0" applyFont="1" applyBorder="1"/>
    <xf numFmtId="0" fontId="7" fillId="0" borderId="9" xfId="0" applyFont="1" applyBorder="1"/>
    <xf numFmtId="0" fontId="0" fillId="0" borderId="9" xfId="0" applyBorder="1" applyAlignment="1">
      <alignment wrapText="1"/>
    </xf>
    <xf numFmtId="0" fontId="7" fillId="0" borderId="9" xfId="0" applyFont="1" applyBorder="1" applyAlignment="1">
      <alignment wrapText="1"/>
    </xf>
    <xf numFmtId="3" fontId="0" fillId="0" borderId="9" xfId="0" applyNumberFormat="1" applyBorder="1"/>
    <xf numFmtId="0" fontId="9" fillId="0" borderId="9" xfId="0" applyFont="1" applyBorder="1"/>
    <xf numFmtId="0" fontId="9" fillId="0" borderId="9" xfId="0" applyFont="1" applyBorder="1" applyAlignment="1">
      <alignment wrapText="1"/>
    </xf>
    <xf numFmtId="0" fontId="0" fillId="0" borderId="9" xfId="0" applyNumberFormat="1" applyBorder="1"/>
    <xf numFmtId="4" fontId="0" fillId="0" borderId="9" xfId="0" applyNumberFormat="1" applyBorder="1"/>
    <xf numFmtId="0" fontId="8" fillId="0" borderId="0" xfId="0" applyFont="1" applyAlignment="1">
      <alignment horizontal="center"/>
    </xf>
    <xf numFmtId="0" fontId="6" fillId="2" borderId="0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Annualized Loss Expectancy by Vulnerability</a:t>
            </a:r>
            <a:endParaRPr lang="en-US" sz="1800" b="1"/>
          </a:p>
        </c:rich>
      </c:tx>
      <c:layout>
        <c:manualLayout>
          <c:xMode val="edge"/>
          <c:yMode val="edge"/>
          <c:x val="0.14946502057613167"/>
          <c:y val="4.5761822978069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'Phase 1 RISK EXPOSURE CAL.'!$B$30</c:f>
              <c:strCache>
                <c:ptCount val="1"/>
                <c:pt idx="0">
                  <c:v>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1 RISK EXPOSURE CAL.'!$A$31:$A$33</c:f>
              <c:strCache>
                <c:ptCount val="3"/>
                <c:pt idx="0">
                  <c:v>Database injection</c:v>
                </c:pt>
                <c:pt idx="1">
                  <c:v>Session hijacking</c:v>
                </c:pt>
                <c:pt idx="2">
                  <c:v>API authentication bypass</c:v>
                </c:pt>
              </c:strCache>
            </c:strRef>
          </c:cat>
          <c:val>
            <c:numRef>
              <c:f>'Phase 1 RISK EXPOSURE CAL.'!$B$31:$B$33</c:f>
              <c:numCache>
                <c:formatCode>[$$-C09]#,##0</c:formatCode>
                <c:ptCount val="3"/>
                <c:pt idx="0">
                  <c:v>31250000</c:v>
                </c:pt>
                <c:pt idx="1">
                  <c:v>3000000</c:v>
                </c:pt>
                <c:pt idx="2">
                  <c:v>750000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-66656032"/>
        <c:axId val="-66655488"/>
      </c:barChart>
      <c:catAx>
        <c:axId val="-66656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VULNERABILITY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6655488"/>
        <c:crosses val="autoZero"/>
        <c:auto val="1"/>
        <c:lblAlgn val="ctr"/>
        <c:lblOffset val="100"/>
        <c:noMultiLvlLbl val="0"/>
      </c:catAx>
      <c:valAx>
        <c:axId val="-666554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ANNUAL LOSS EXPENTANCY</a:t>
                </a:r>
              </a:p>
            </c:rich>
          </c:tx>
          <c:layout>
            <c:manualLayout>
              <c:xMode val="edge"/>
              <c:yMode val="edge"/>
              <c:x val="0.47121665347387132"/>
              <c:y val="0.881576787978627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C09]#,##0" sourceLinked="1"/>
        <c:majorTickMark val="none"/>
        <c:minorTickMark val="none"/>
        <c:tickLblPos val="nextTo"/>
        <c:crossAx val="-6665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Share of Total Annualized Loss Expectancy</a:t>
            </a:r>
            <a:endParaRPr lang="en-US"/>
          </a:p>
        </c:rich>
      </c:tx>
      <c:layout>
        <c:manualLayout>
          <c:xMode val="edge"/>
          <c:yMode val="edge"/>
          <c:x val="0.1022222222222222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'Phase 1 RISK EXPOSURE CAL.'!$B$55</c:f>
              <c:strCache>
                <c:ptCount val="1"/>
                <c:pt idx="0">
                  <c:v>Distibution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'Phase 1 RISK EXPOSURE CAL.'!$A$56:$A$58</c:f>
              <c:strCache>
                <c:ptCount val="3"/>
                <c:pt idx="0">
                  <c:v>API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'Phase 1 RISK EXPOSURE CAL.'!$B$56:$B$58</c:f>
              <c:numCache>
                <c:formatCode>0.00</c:formatCode>
                <c:ptCount val="3"/>
                <c:pt idx="0">
                  <c:v>2.1428571428571428</c:v>
                </c:pt>
                <c:pt idx="1">
                  <c:v>89.285714285714292</c:v>
                </c:pt>
                <c:pt idx="2">
                  <c:v>8.5714285714285712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Control Investment vs. Effectiveness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'Phase 2  Control Evaluation'!$C$16</c:f>
              <c:strCache>
                <c:ptCount val="1"/>
                <c:pt idx="0">
                  <c:v>Effectiveness (%)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'Phase 2  Control Evaluation'!$B$17:$B$19</c:f>
              <c:numCache>
                <c:formatCode>#,##0</c:formatCode>
                <c:ptCount val="3"/>
                <c:pt idx="0" formatCode="_-* #,##0_-;\-* #,##0_-;_-* &quot;-&quot;??_-;_-@_-">
                  <c:v>350000</c:v>
                </c:pt>
                <c:pt idx="1">
                  <c:v>150000</c:v>
                </c:pt>
                <c:pt idx="2">
                  <c:v>200000</c:v>
                </c:pt>
              </c:numCache>
            </c:numRef>
          </c:xVal>
          <c:yVal>
            <c:numRef>
              <c:f>'Phase 2  Control Evaluation'!$C$17:$C$19</c:f>
              <c:numCache>
                <c:formatCode>General</c:formatCode>
                <c:ptCount val="3"/>
                <c:pt idx="0">
                  <c:v>90</c:v>
                </c:pt>
                <c:pt idx="1">
                  <c:v>75</c:v>
                </c:pt>
                <c:pt idx="2">
                  <c:v>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9109360"/>
        <c:axId val="-29104464"/>
      </c:scatterChart>
      <c:valAx>
        <c:axId val="-2910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Investment Cost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04464"/>
        <c:crosses val="autoZero"/>
        <c:crossBetween val="midCat"/>
      </c:valAx>
      <c:valAx>
        <c:axId val="-2910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Effectiveness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0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First-Year ROI by Security Control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'Phase 2  Control Evaluation'!$B$31</c:f>
              <c:strCache>
                <c:ptCount val="1"/>
                <c:pt idx="0">
                  <c:v>First-Year ROI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2  Control Evaluation'!$A$32:$A$34</c:f>
              <c:strCache>
                <c:ptCount val="3"/>
                <c:pt idx="0">
                  <c:v>API Security Gateway</c:v>
                </c:pt>
                <c:pt idx="1">
                  <c:v>Web Application Firewall (WAF)</c:v>
                </c:pt>
                <c:pt idx="2">
                  <c:v>MFA Enhancement</c:v>
                </c:pt>
              </c:strCache>
            </c:strRef>
          </c:cat>
          <c:val>
            <c:numRef>
              <c:f>'Phase 2  Control Evaluation'!$B$32:$B$34</c:f>
              <c:numCache>
                <c:formatCode>_(* #,##0.00_);_(* \(#,##0.00\);_(* "-"??_);_(@_)</c:formatCode>
                <c:ptCount val="3"/>
                <c:pt idx="0">
                  <c:v>68.75</c:v>
                </c:pt>
                <c:pt idx="1">
                  <c:v>13292.857142857141</c:v>
                </c:pt>
                <c:pt idx="2">
                  <c:v>1139.1304347826087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-29101744"/>
        <c:axId val="-29110992"/>
      </c:barChart>
      <c:catAx>
        <c:axId val="-29101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Control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10992"/>
        <c:crosses val="autoZero"/>
        <c:auto val="1"/>
        <c:lblAlgn val="ctr"/>
        <c:lblOffset val="100"/>
        <c:noMultiLvlLbl val="0"/>
      </c:catAx>
      <c:valAx>
        <c:axId val="-29110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First Year ROI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0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Cumulative Risk Reduction Over 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'Phase 2  Control Evaluation'!$A$44:$E$44</c:f>
              <c:strCache>
                <c:ptCount val="5"/>
                <c:pt idx="0">
                  <c:v>Year</c:v>
                </c:pt>
                <c:pt idx="1">
                  <c:v>API Gateway</c:v>
                </c:pt>
                <c:pt idx="2">
                  <c:v>WAF</c:v>
                </c:pt>
                <c:pt idx="3">
                  <c:v>MFA</c:v>
                </c:pt>
                <c:pt idx="4">
                  <c:v>Combined</c:v>
                </c:pt>
              </c:strCache>
            </c:strRef>
          </c:cat>
          <c:val>
            <c:numRef>
              <c:f>'Phase 2  Control Evaluation'!$A$45:$E$45</c:f>
              <c:numCache>
                <c:formatCode>#,##0</c:formatCode>
                <c:ptCount val="5"/>
                <c:pt idx="0" formatCode="General">
                  <c:v>1</c:v>
                </c:pt>
                <c:pt idx="1">
                  <c:v>675000</c:v>
                </c:pt>
                <c:pt idx="2">
                  <c:v>23437500</c:v>
                </c:pt>
                <c:pt idx="3">
                  <c:v>2850000</c:v>
                </c:pt>
                <c:pt idx="4">
                  <c:v>26962500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'Phase 2  Control Evaluation'!$A$44:$E$44</c:f>
              <c:strCache>
                <c:ptCount val="5"/>
                <c:pt idx="0">
                  <c:v>Year</c:v>
                </c:pt>
                <c:pt idx="1">
                  <c:v>API Gateway</c:v>
                </c:pt>
                <c:pt idx="2">
                  <c:v>WAF</c:v>
                </c:pt>
                <c:pt idx="3">
                  <c:v>MFA</c:v>
                </c:pt>
                <c:pt idx="4">
                  <c:v>Combined</c:v>
                </c:pt>
              </c:strCache>
            </c:strRef>
          </c:cat>
          <c:val>
            <c:numRef>
              <c:f>'Phase 2  Control Evaluation'!$A$46:$E$46</c:f>
              <c:numCache>
                <c:formatCode>#,##0</c:formatCode>
                <c:ptCount val="5"/>
                <c:pt idx="0" formatCode="General">
                  <c:v>2</c:v>
                </c:pt>
                <c:pt idx="1">
                  <c:v>1350000</c:v>
                </c:pt>
                <c:pt idx="2">
                  <c:v>46875000</c:v>
                </c:pt>
                <c:pt idx="3">
                  <c:v>5700000</c:v>
                </c:pt>
                <c:pt idx="4">
                  <c:v>53925000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'Phase 2  Control Evaluation'!$A$44:$E$44</c:f>
              <c:strCache>
                <c:ptCount val="5"/>
                <c:pt idx="0">
                  <c:v>Year</c:v>
                </c:pt>
                <c:pt idx="1">
                  <c:v>API Gateway</c:v>
                </c:pt>
                <c:pt idx="2">
                  <c:v>WAF</c:v>
                </c:pt>
                <c:pt idx="3">
                  <c:v>MFA</c:v>
                </c:pt>
                <c:pt idx="4">
                  <c:v>Combined</c:v>
                </c:pt>
              </c:strCache>
            </c:strRef>
          </c:cat>
          <c:val>
            <c:numRef>
              <c:f>'Phase 2  Control Evaluation'!$A$47:$E$47</c:f>
              <c:numCache>
                <c:formatCode>#,##0</c:formatCode>
                <c:ptCount val="5"/>
                <c:pt idx="0" formatCode="General">
                  <c:v>3</c:v>
                </c:pt>
                <c:pt idx="1">
                  <c:v>2025000</c:v>
                </c:pt>
                <c:pt idx="2">
                  <c:v>70312500</c:v>
                </c:pt>
                <c:pt idx="3">
                  <c:v>8550000</c:v>
                </c:pt>
                <c:pt idx="4">
                  <c:v>80887500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9109904"/>
        <c:axId val="-29108816"/>
      </c:lineChart>
      <c:catAx>
        <c:axId val="-29109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3231824146981632"/>
              <c:y val="0.77740667833187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08816"/>
        <c:crosses val="autoZero"/>
        <c:auto val="1"/>
        <c:lblAlgn val="ctr"/>
        <c:lblOffset val="100"/>
        <c:noMultiLvlLbl val="0"/>
      </c:catAx>
      <c:valAx>
        <c:axId val="-29108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Cumulative Risk Reduction ($)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222222222222223E-2"/>
              <c:y val="0.19486111111111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0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Risk Exposure Before and After Controls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'Phase 3  Executive Reporting'!$B$9</c:f>
              <c:strCache>
                <c:ptCount val="1"/>
                <c:pt idx="0">
                  <c:v>Before Controls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'Phase 3  Executive Reporting'!$A$10:$A$12</c:f>
              <c:strCache>
                <c:ptCount val="3"/>
                <c:pt idx="0">
                  <c:v>API Authentication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'Phase 3  Executive Reporting'!$B$10:$B$12</c:f>
              <c:numCache>
                <c:formatCode>#,##0</c:formatCode>
                <c:ptCount val="3"/>
                <c:pt idx="0">
                  <c:v>750000</c:v>
                </c:pt>
                <c:pt idx="1">
                  <c:v>31250000</c:v>
                </c:pt>
                <c:pt idx="2">
                  <c:v>3000000</c:v>
                </c:pt>
              </c:numCache>
            </c:numRef>
          </c:val>
        </c:ser>
        <c:ser>
          <c:idx val="1"/>
          <c:order val="1"/>
          <c:tx>
            <c:strRef>
              <c:f>'Phase 3  Executive Reporting'!$C$9</c:f>
              <c:strCache>
                <c:ptCount val="1"/>
                <c:pt idx="0">
                  <c:v>After Controls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'Phase 3  Executive Reporting'!$A$10:$A$12</c:f>
              <c:strCache>
                <c:ptCount val="3"/>
                <c:pt idx="0">
                  <c:v>API Authentication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'Phase 3  Executive Reporting'!$C$10:$C$12</c:f>
              <c:numCache>
                <c:formatCode>#,##0</c:formatCode>
                <c:ptCount val="3"/>
                <c:pt idx="0">
                  <c:v>75000</c:v>
                </c:pt>
                <c:pt idx="1">
                  <c:v>7812500</c:v>
                </c:pt>
                <c:pt idx="2">
                  <c:v>150000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9103920"/>
        <c:axId val="-29107728"/>
      </c:barChart>
      <c:catAx>
        <c:axId val="-29103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/>
                  <a:t>Vulnerability</a:t>
                </a:r>
                <a:endParaRPr lang="en-US" sz="12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07728"/>
        <c:crosses val="autoZero"/>
        <c:auto val="1"/>
        <c:lblAlgn val="ctr"/>
        <c:lblOffset val="100"/>
        <c:noMultiLvlLbl val="0"/>
      </c:catAx>
      <c:valAx>
        <c:axId val="-29107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Annualized Loss Expectancy ($)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288539848749273E-2"/>
              <c:y val="0.156739279378393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0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Security Control Investment Breakdown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'Phase 3  Executive Reporting'!$B$16</c:f>
              <c:strCache>
                <c:ptCount val="1"/>
                <c:pt idx="0">
                  <c:v>Initial Investment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'Phase 3  Executive Reporting'!$A$17:$A$19</c:f>
              <c:strCache>
                <c:ptCount val="3"/>
                <c:pt idx="0">
                  <c:v>API Security Gateway</c:v>
                </c:pt>
                <c:pt idx="1">
                  <c:v>Web Application Firewall (WAF)</c:v>
                </c:pt>
                <c:pt idx="2">
                  <c:v>MFA Enhancement</c:v>
                </c:pt>
              </c:strCache>
            </c:strRef>
          </c:cat>
          <c:val>
            <c:numRef>
              <c:f>'Phase 3  Executive Reporting'!$B$17:$B$19</c:f>
              <c:numCache>
                <c:formatCode>#,##0</c:formatCode>
                <c:ptCount val="3"/>
                <c:pt idx="0">
                  <c:v>350000</c:v>
                </c:pt>
                <c:pt idx="1">
                  <c:v>150000</c:v>
                </c:pt>
                <c:pt idx="2">
                  <c:v>200000</c:v>
                </c:pt>
              </c:numCache>
            </c:numRef>
          </c:val>
        </c:ser>
        <c:ser>
          <c:idx val="1"/>
          <c:order val="1"/>
          <c:tx>
            <c:strRef>
              <c:f>'Phase 3  Executive Reporting'!$C$16</c:f>
              <c:strCache>
                <c:ptCount val="1"/>
                <c:pt idx="0">
                  <c:v>Annual Maintenance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'Phase 3  Executive Reporting'!$A$17:$A$19</c:f>
              <c:strCache>
                <c:ptCount val="3"/>
                <c:pt idx="0">
                  <c:v>API Security Gateway</c:v>
                </c:pt>
                <c:pt idx="1">
                  <c:v>Web Application Firewall (WAF)</c:v>
                </c:pt>
                <c:pt idx="2">
                  <c:v>MFA Enhancement</c:v>
                </c:pt>
              </c:strCache>
            </c:strRef>
          </c:cat>
          <c:val>
            <c:numRef>
              <c:f>'Phase 3  Executive Reporting'!$C$17:$C$19</c:f>
              <c:numCache>
                <c:formatCode>#,##0</c:formatCode>
                <c:ptCount val="3"/>
                <c:pt idx="0">
                  <c:v>50000</c:v>
                </c:pt>
                <c:pt idx="1">
                  <c:v>25000</c:v>
                </c:pt>
                <c:pt idx="2">
                  <c:v>30000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9107184"/>
        <c:axId val="-29100656"/>
      </c:barChart>
      <c:catAx>
        <c:axId val="-29107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baseline="0"/>
                  <a:t>Security Control</a:t>
                </a:r>
                <a:endParaRPr lang="en-US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00656"/>
        <c:crosses val="autoZero"/>
        <c:auto val="1"/>
        <c:lblAlgn val="ctr"/>
        <c:lblOffset val="100"/>
        <c:noMultiLvlLbl val="0"/>
      </c:catAx>
      <c:valAx>
        <c:axId val="-29100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Cost ($)</a:t>
                </a:r>
                <a:endParaRPr lang="en-US" sz="14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0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First-Year ROI Comparison Across Security Controls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'Phase 3  Executive Reporting'!$B$24</c:f>
              <c:strCache>
                <c:ptCount val="1"/>
                <c:pt idx="0">
                  <c:v>First-Year ROI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3  Executive Reporting'!$A$25:$A$27</c:f>
              <c:strCache>
                <c:ptCount val="3"/>
                <c:pt idx="0">
                  <c:v>API Security Gateway</c:v>
                </c:pt>
                <c:pt idx="1">
                  <c:v>Web Application Firewall (WAF)</c:v>
                </c:pt>
                <c:pt idx="2">
                  <c:v>MFA Enhancement</c:v>
                </c:pt>
              </c:strCache>
            </c:strRef>
          </c:cat>
          <c:val>
            <c:numRef>
              <c:f>'Phase 3  Executive Reporting'!$B$25:$B$27</c:f>
              <c:numCache>
                <c:formatCode>#,##0.00</c:formatCode>
                <c:ptCount val="3"/>
                <c:pt idx="0" formatCode="General">
                  <c:v>68.75</c:v>
                </c:pt>
                <c:pt idx="1">
                  <c:v>13292.86</c:v>
                </c:pt>
                <c:pt idx="2">
                  <c:v>1139.1300000000001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29103376"/>
        <c:axId val="-29115344"/>
      </c:barChart>
      <c:catAx>
        <c:axId val="-29103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Security Control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777777777777776E-2"/>
              <c:y val="0.38036271507728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15344"/>
        <c:crosses val="autoZero"/>
        <c:auto val="1"/>
        <c:lblAlgn val="ctr"/>
        <c:lblOffset val="100"/>
        <c:noMultiLvlLbl val="0"/>
      </c:catAx>
      <c:valAx>
        <c:axId val="-2911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First-Year ROI (%)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0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SecureMobile Cybersecurity Risk Treatment Timeline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'Phase 3  Executive Reporting'!$B$47</c:f>
              <c:strCache>
                <c:ptCount val="1"/>
                <c:pt idx="0">
                  <c:v>Start Day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'Phase 3  Executive Reporting'!$A$48:$A$56</c:f>
              <c:strCache>
                <c:ptCount val="9"/>
                <c:pt idx="0">
                  <c:v>Validate findings and assess exposure</c:v>
                </c:pt>
                <c:pt idx="1">
                  <c:v>Apply immediate containment measures</c:v>
                </c:pt>
                <c:pt idx="2">
                  <c:v>Remediate database injection vulnerability</c:v>
                </c:pt>
                <c:pt idx="3">
                  <c:v>Deploy and configure WAF</c:v>
                </c:pt>
                <c:pt idx="4">
                  <c:v>Implement MFA enhancement</c:v>
                </c:pt>
                <c:pt idx="5">
                  <c:v>Deploy API Security Gateway</c:v>
                </c:pt>
                <c:pt idx="6">
                  <c:v>Conduct security testing and retesting</c:v>
                </c:pt>
                <c:pt idx="7">
                  <c:v>Review residual risks and control effectiveness</c:v>
                </c:pt>
                <c:pt idx="8">
                  <c:v>Monitor KRIs and review control performance</c:v>
                </c:pt>
              </c:strCache>
            </c:strRef>
          </c:cat>
          <c:val>
            <c:numRef>
              <c:f>'Phase 3  Executive Reporting'!$B$48:$B$56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76</c:v>
                </c:pt>
                <c:pt idx="7">
                  <c:v>91</c:v>
                </c:pt>
                <c:pt idx="8">
                  <c:v>181</c:v>
                </c:pt>
              </c:numCache>
            </c:numRef>
          </c:val>
        </c:ser>
        <c:ser>
          <c:idx val="1"/>
          <c:order val="1"/>
          <c:tx>
            <c:strRef>
              <c:f>'Phase 3  Executive Reporting'!$C$47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'Phase 3  Executive Reporting'!$A$48:$A$56</c:f>
              <c:strCache>
                <c:ptCount val="9"/>
                <c:pt idx="0">
                  <c:v>Validate findings and assess exposure</c:v>
                </c:pt>
                <c:pt idx="1">
                  <c:v>Apply immediate containment measures</c:v>
                </c:pt>
                <c:pt idx="2">
                  <c:v>Remediate database injection vulnerability</c:v>
                </c:pt>
                <c:pt idx="3">
                  <c:v>Deploy and configure WAF</c:v>
                </c:pt>
                <c:pt idx="4">
                  <c:v>Implement MFA enhancement</c:v>
                </c:pt>
                <c:pt idx="5">
                  <c:v>Deploy API Security Gateway</c:v>
                </c:pt>
                <c:pt idx="6">
                  <c:v>Conduct security testing and retesting</c:v>
                </c:pt>
                <c:pt idx="7">
                  <c:v>Review residual risks and control effectiveness</c:v>
                </c:pt>
                <c:pt idx="8">
                  <c:v>Monitor KRIs and review control performance</c:v>
                </c:pt>
              </c:strCache>
            </c:strRef>
          </c:cat>
          <c:val>
            <c:numRef>
              <c:f>'Phase 3  Executive Reporting'!$C$48:$C$56</c:f>
              <c:numCache>
                <c:formatCode>General</c:formatCode>
                <c:ptCount val="9"/>
                <c:pt idx="0">
                  <c:v>10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45</c:v>
                </c:pt>
                <c:pt idx="5">
                  <c:v>60</c:v>
                </c:pt>
                <c:pt idx="6">
                  <c:v>15</c:v>
                </c:pt>
                <c:pt idx="7">
                  <c:v>90</c:v>
                </c:pt>
                <c:pt idx="8">
                  <c:v>184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9114256"/>
        <c:axId val="-29113168"/>
      </c:barChart>
      <c:catAx>
        <c:axId val="-29114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u="none" strike="noStrike" baseline="0"/>
                  <a:t>Risk Treatment Activities</a:t>
                </a:r>
                <a:endParaRPr lang="en-US" sz="105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13168"/>
        <c:crosses val="autoZero"/>
        <c:auto val="1"/>
        <c:lblAlgn val="ctr"/>
        <c:lblOffset val="100"/>
        <c:noMultiLvlLbl val="0"/>
      </c:catAx>
      <c:valAx>
        <c:axId val="-2911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Start Day and Duration (Days)</a:t>
                </a:r>
                <a:endParaRPr 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1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Risk Exposure Before and After Controls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'Phase 3  Executive Reporting'!$B$9</c:f>
              <c:strCache>
                <c:ptCount val="1"/>
                <c:pt idx="0">
                  <c:v>Before Controls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3  Executive Reporting'!$A$10:$A$12</c:f>
              <c:strCache>
                <c:ptCount val="3"/>
                <c:pt idx="0">
                  <c:v>API Authentication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'Phase 3  Executive Reporting'!$B$10:$B$12</c:f>
              <c:numCache>
                <c:formatCode>#,##0</c:formatCode>
                <c:ptCount val="3"/>
                <c:pt idx="0">
                  <c:v>750000</c:v>
                </c:pt>
                <c:pt idx="1">
                  <c:v>31250000</c:v>
                </c:pt>
                <c:pt idx="2">
                  <c:v>3000000</c:v>
                </c:pt>
              </c:numCache>
            </c:numRef>
          </c:val>
        </c:ser>
        <c:ser>
          <c:idx val="1"/>
          <c:order val="1"/>
          <c:tx>
            <c:strRef>
              <c:f>'Phase 3  Executive Reporting'!$C$9</c:f>
              <c:strCache>
                <c:ptCount val="1"/>
                <c:pt idx="0">
                  <c:v>After Controls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3  Executive Reporting'!$A$10:$A$12</c:f>
              <c:strCache>
                <c:ptCount val="3"/>
                <c:pt idx="0">
                  <c:v>API Authentication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'Phase 3  Executive Reporting'!$C$10:$C$12</c:f>
              <c:numCache>
                <c:formatCode>#,##0</c:formatCode>
                <c:ptCount val="3"/>
                <c:pt idx="0">
                  <c:v>75000</c:v>
                </c:pt>
                <c:pt idx="1">
                  <c:v>7812500</c:v>
                </c:pt>
                <c:pt idx="2">
                  <c:v>150000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29102832"/>
        <c:axId val="-28012176"/>
      </c:barChart>
      <c:catAx>
        <c:axId val="-2910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/>
                  <a:t>Vulnerability</a:t>
                </a:r>
                <a:endParaRPr lang="en-US" sz="12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012176"/>
        <c:crosses val="autoZero"/>
        <c:auto val="1"/>
        <c:lblAlgn val="ctr"/>
        <c:lblOffset val="100"/>
        <c:noMultiLvlLbl val="0"/>
      </c:catAx>
      <c:valAx>
        <c:axId val="-28012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Annualized Loss Expectancy ($)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288539848749273E-2"/>
              <c:y val="0.156739279378393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910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Security Control Investment Breakdown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'Phase 3  Executive Reporting'!$B$16</c:f>
              <c:strCache>
                <c:ptCount val="1"/>
                <c:pt idx="0">
                  <c:v>Initial Investment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'Phase 3  Executive Reporting'!$A$17:$A$19</c:f>
              <c:strCache>
                <c:ptCount val="3"/>
                <c:pt idx="0">
                  <c:v>API Security Gateway</c:v>
                </c:pt>
                <c:pt idx="1">
                  <c:v>Web Application Firewall (WAF)</c:v>
                </c:pt>
                <c:pt idx="2">
                  <c:v>MFA Enhancement</c:v>
                </c:pt>
              </c:strCache>
            </c:strRef>
          </c:cat>
          <c:val>
            <c:numRef>
              <c:f>'Phase 3  Executive Reporting'!$B$17:$B$19</c:f>
              <c:numCache>
                <c:formatCode>#,##0</c:formatCode>
                <c:ptCount val="3"/>
                <c:pt idx="0">
                  <c:v>350000</c:v>
                </c:pt>
                <c:pt idx="1">
                  <c:v>150000</c:v>
                </c:pt>
                <c:pt idx="2">
                  <c:v>200000</c:v>
                </c:pt>
              </c:numCache>
            </c:numRef>
          </c:val>
        </c:ser>
        <c:ser>
          <c:idx val="1"/>
          <c:order val="1"/>
          <c:tx>
            <c:strRef>
              <c:f>'Phase 3  Executive Reporting'!$C$16</c:f>
              <c:strCache>
                <c:ptCount val="1"/>
                <c:pt idx="0">
                  <c:v>Annual Maintenance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'Phase 3  Executive Reporting'!$A$17:$A$19</c:f>
              <c:strCache>
                <c:ptCount val="3"/>
                <c:pt idx="0">
                  <c:v>API Security Gateway</c:v>
                </c:pt>
                <c:pt idx="1">
                  <c:v>Web Application Firewall (WAF)</c:v>
                </c:pt>
                <c:pt idx="2">
                  <c:v>MFA Enhancement</c:v>
                </c:pt>
              </c:strCache>
            </c:strRef>
          </c:cat>
          <c:val>
            <c:numRef>
              <c:f>'Phase 3  Executive Reporting'!$C$17:$C$19</c:f>
              <c:numCache>
                <c:formatCode>#,##0</c:formatCode>
                <c:ptCount val="3"/>
                <c:pt idx="0">
                  <c:v>50000</c:v>
                </c:pt>
                <c:pt idx="1">
                  <c:v>25000</c:v>
                </c:pt>
                <c:pt idx="2">
                  <c:v>30000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8006192"/>
        <c:axId val="-28010544"/>
      </c:barChart>
      <c:catAx>
        <c:axId val="-28006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baseline="0"/>
                  <a:t>Security Control</a:t>
                </a:r>
                <a:endParaRPr lang="en-US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010544"/>
        <c:crosses val="autoZero"/>
        <c:auto val="1"/>
        <c:lblAlgn val="ctr"/>
        <c:lblOffset val="100"/>
        <c:noMultiLvlLbl val="0"/>
      </c:catAx>
      <c:valAx>
        <c:axId val="-2801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Cost ($)</a:t>
                </a:r>
                <a:endParaRPr lang="en-US" sz="14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00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First-Year ROI Comparison Across Security Controls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'Phase 3  Executive Reporting'!$B$24</c:f>
              <c:strCache>
                <c:ptCount val="1"/>
                <c:pt idx="0">
                  <c:v>First-Year ROI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3  Executive Reporting'!$A$25:$A$27</c:f>
              <c:strCache>
                <c:ptCount val="3"/>
                <c:pt idx="0">
                  <c:v>API Security Gateway</c:v>
                </c:pt>
                <c:pt idx="1">
                  <c:v>Web Application Firewall (WAF)</c:v>
                </c:pt>
                <c:pt idx="2">
                  <c:v>MFA Enhancement</c:v>
                </c:pt>
              </c:strCache>
            </c:strRef>
          </c:cat>
          <c:val>
            <c:numRef>
              <c:f>'Phase 3  Executive Reporting'!$B$25:$B$27</c:f>
              <c:numCache>
                <c:formatCode>#,##0.00</c:formatCode>
                <c:ptCount val="3"/>
                <c:pt idx="0" formatCode="General">
                  <c:v>68.75</c:v>
                </c:pt>
                <c:pt idx="1">
                  <c:v>13292.86</c:v>
                </c:pt>
                <c:pt idx="2">
                  <c:v>1139.1300000000001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28011632"/>
        <c:axId val="-28008912"/>
      </c:barChart>
      <c:catAx>
        <c:axId val="-28011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Security Control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777777777777776E-2"/>
              <c:y val="0.38036271507728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008912"/>
        <c:crosses val="autoZero"/>
        <c:auto val="1"/>
        <c:lblAlgn val="ctr"/>
        <c:lblOffset val="100"/>
        <c:noMultiLvlLbl val="0"/>
      </c:catAx>
      <c:valAx>
        <c:axId val="-2800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First-Year ROI (%)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01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36</xdr:row>
      <xdr:rowOff>33336</xdr:rowOff>
    </xdr:from>
    <xdr:to>
      <xdr:col>3</xdr:col>
      <xdr:colOff>57149</xdr:colOff>
      <xdr:row>52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58</xdr:row>
      <xdr:rowOff>176212</xdr:rowOff>
    </xdr:from>
    <xdr:to>
      <xdr:col>2</xdr:col>
      <xdr:colOff>847725</xdr:colOff>
      <xdr:row>73</xdr:row>
      <xdr:rowOff>61912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12</xdr:row>
      <xdr:rowOff>71437</xdr:rowOff>
    </xdr:from>
    <xdr:to>
      <xdr:col>6</xdr:col>
      <xdr:colOff>123825</xdr:colOff>
      <xdr:row>25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</xdr:colOff>
      <xdr:row>26</xdr:row>
      <xdr:rowOff>42862</xdr:rowOff>
    </xdr:from>
    <xdr:to>
      <xdr:col>5</xdr:col>
      <xdr:colOff>1476375</xdr:colOff>
      <xdr:row>40</xdr:row>
      <xdr:rowOff>52387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380999</xdr:colOff>
      <xdr:row>40</xdr:row>
      <xdr:rowOff>33337</xdr:rowOff>
    </xdr:from>
    <xdr:to>
      <xdr:col>12</xdr:col>
      <xdr:colOff>495300</xdr:colOff>
      <xdr:row>56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57149</xdr:colOff>
      <xdr:row>1</xdr:row>
      <xdr:rowOff>95250</xdr:rowOff>
    </xdr:from>
    <xdr:to>
      <xdr:col>13</xdr:col>
      <xdr:colOff>28574</xdr:colOff>
      <xdr:row>14</xdr:row>
      <xdr:rowOff>176212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104775</xdr:colOff>
      <xdr:row>14</xdr:row>
      <xdr:rowOff>166687</xdr:rowOff>
    </xdr:from>
    <xdr:to>
      <xdr:col>9</xdr:col>
      <xdr:colOff>552450</xdr:colOff>
      <xdr:row>25</xdr:row>
      <xdr:rowOff>357187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133349</xdr:colOff>
      <xdr:row>27</xdr:row>
      <xdr:rowOff>61911</xdr:rowOff>
    </xdr:from>
    <xdr:to>
      <xdr:col>3</xdr:col>
      <xdr:colOff>628649</xdr:colOff>
      <xdr:row>42</xdr:row>
      <xdr:rowOff>142874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457199</xdr:colOff>
      <xdr:row>45</xdr:row>
      <xdr:rowOff>204787</xdr:rowOff>
    </xdr:from>
    <xdr:to>
      <xdr:col>11</xdr:col>
      <xdr:colOff>552450</xdr:colOff>
      <xdr:row>55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1</xdr:row>
      <xdr:rowOff>171449</xdr:rowOff>
    </xdr:from>
    <xdr:to>
      <xdr:col>21</xdr:col>
      <xdr:colOff>257175</xdr:colOff>
      <xdr:row>36</xdr:row>
      <xdr:rowOff>38100</xdr:rowOff>
    </xdr:to>
    <xdr:grpSp>
      <xdr:nvGrpSpPr>
        <xdr:cNvPr id="46" name="Group 45"/>
        <xdr:cNvGrpSpPr/>
      </xdr:nvGrpSpPr>
      <xdr:grpSpPr>
        <a:xfrm>
          <a:off x="2619375" y="361949"/>
          <a:ext cx="10439400" cy="6534151"/>
          <a:chOff x="2619375" y="190499"/>
          <a:chExt cx="8429625" cy="6124575"/>
        </a:xfrm>
      </xdr:grpSpPr>
      <xdr:grpSp>
        <xdr:nvGrpSpPr>
          <xdr:cNvPr id="44" name="Group 43"/>
          <xdr:cNvGrpSpPr/>
        </xdr:nvGrpSpPr>
        <xdr:grpSpPr>
          <a:xfrm>
            <a:off x="2619375" y="190499"/>
            <a:ext cx="8429625" cy="6124575"/>
            <a:chOff x="2619375" y="190499"/>
            <a:chExt cx="8429625" cy="6124575"/>
          </a:xfrm>
        </xdr:grpSpPr>
        <xdr:grpSp>
          <xdr:nvGrpSpPr>
            <xdr:cNvPr id="30" name="Group 29"/>
            <xdr:cNvGrpSpPr/>
          </xdr:nvGrpSpPr>
          <xdr:grpSpPr>
            <a:xfrm>
              <a:off x="2619375" y="190499"/>
              <a:ext cx="8429625" cy="6124575"/>
              <a:chOff x="2409825" y="190499"/>
              <a:chExt cx="10810875" cy="6124575"/>
            </a:xfrm>
          </xdr:grpSpPr>
          <xdr:sp macro="" textlink="">
            <xdr:nvSpPr>
              <xdr:cNvPr id="3" name="Rectangle 2"/>
              <xdr:cNvSpPr/>
            </xdr:nvSpPr>
            <xdr:spPr>
              <a:xfrm>
                <a:off x="2409825" y="190499"/>
                <a:ext cx="10772776" cy="6124575"/>
              </a:xfrm>
              <a:prstGeom prst="rect">
                <a:avLst/>
              </a:prstGeom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29" name="Group 28"/>
              <xdr:cNvGrpSpPr/>
            </xdr:nvGrpSpPr>
            <xdr:grpSpPr>
              <a:xfrm>
                <a:off x="2503200" y="1028699"/>
                <a:ext cx="2643971" cy="5200819"/>
                <a:chOff x="2503200" y="1028699"/>
                <a:chExt cx="2643971" cy="5200819"/>
              </a:xfrm>
            </xdr:grpSpPr>
            <xdr:grpSp>
              <xdr:nvGrpSpPr>
                <xdr:cNvPr id="4" name="Group 3"/>
                <xdr:cNvGrpSpPr/>
              </xdr:nvGrpSpPr>
              <xdr:grpSpPr>
                <a:xfrm>
                  <a:off x="2525771" y="1028699"/>
                  <a:ext cx="2621400" cy="936000"/>
                  <a:chOff x="3981449" y="790574"/>
                  <a:chExt cx="1836000" cy="936000"/>
                </a:xfrm>
              </xdr:grpSpPr>
              <xdr:sp macro="" textlink="">
                <xdr:nvSpPr>
                  <xdr:cNvPr id="25" name="Rounded Rectangle 24"/>
                  <xdr:cNvSpPr/>
                </xdr:nvSpPr>
                <xdr:spPr>
                  <a:xfrm>
                    <a:off x="3981449" y="790574"/>
                    <a:ext cx="1836000" cy="936000"/>
                  </a:xfrm>
                  <a:prstGeom prst="roundRect">
                    <a:avLst/>
                  </a:prstGeom>
                  <a:solidFill>
                    <a:schemeClr val="accent2">
                      <a:lumMod val="40000"/>
                      <a:lumOff val="6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26" name="Group 25"/>
                  <xdr:cNvGrpSpPr/>
                </xdr:nvGrpSpPr>
                <xdr:grpSpPr>
                  <a:xfrm>
                    <a:off x="4055711" y="809624"/>
                    <a:ext cx="1657350" cy="847726"/>
                    <a:chOff x="3579461" y="3676649"/>
                    <a:chExt cx="1657350" cy="847726"/>
                  </a:xfrm>
                </xdr:grpSpPr>
                <xdr:sp macro="" textlink="">
                  <xdr:nvSpPr>
                    <xdr:cNvPr id="27" name="TextBox 26"/>
                    <xdr:cNvSpPr txBox="1"/>
                  </xdr:nvSpPr>
                  <xdr:spPr>
                    <a:xfrm>
                      <a:off x="3636611" y="3676649"/>
                      <a:ext cx="1552575" cy="48577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lang="en-US" sz="1200" b="1"/>
                        <a:t>Total annual </a:t>
                      </a:r>
                      <a:r>
                        <a:rPr lang="en-US" sz="1200" b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risk</a:t>
                      </a:r>
                      <a:r>
                        <a:rPr lang="en-US" sz="1200" b="1"/>
                        <a:t> exposure (ALE)</a:t>
                      </a:r>
                    </a:p>
                  </xdr:txBody>
                </xdr:sp>
                <xdr:sp macro="" textlink="">
                  <xdr:nvSpPr>
                    <xdr:cNvPr id="28" name="TextBox 27"/>
                    <xdr:cNvSpPr txBox="1"/>
                  </xdr:nvSpPr>
                  <xdr:spPr>
                    <a:xfrm>
                      <a:off x="3579461" y="4152900"/>
                      <a:ext cx="1657350" cy="37147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lang="en-US" sz="1800" b="1"/>
                        <a:t>$35,000,000</a:t>
                      </a:r>
                    </a:p>
                  </xdr:txBody>
                </xdr:sp>
              </xdr:grpSp>
            </xdr:grpSp>
            <xdr:grpSp>
              <xdr:nvGrpSpPr>
                <xdr:cNvPr id="5" name="Group 4"/>
                <xdr:cNvGrpSpPr/>
              </xdr:nvGrpSpPr>
              <xdr:grpSpPr>
                <a:xfrm>
                  <a:off x="2519057" y="2094904"/>
                  <a:ext cx="2621400" cy="936000"/>
                  <a:chOff x="6455789" y="816768"/>
                  <a:chExt cx="1836000" cy="936000"/>
                </a:xfrm>
              </xdr:grpSpPr>
              <xdr:sp macro="" textlink="">
                <xdr:nvSpPr>
                  <xdr:cNvPr id="21" name="Rounded Rectangle 20"/>
                  <xdr:cNvSpPr/>
                </xdr:nvSpPr>
                <xdr:spPr>
                  <a:xfrm>
                    <a:off x="6455789" y="816768"/>
                    <a:ext cx="1836000" cy="936000"/>
                  </a:xfrm>
                  <a:prstGeom prst="roundRect">
                    <a:avLst/>
                  </a:prstGeom>
                  <a:solidFill>
                    <a:schemeClr val="accent2">
                      <a:lumMod val="40000"/>
                      <a:lumOff val="6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22" name="Group 21"/>
                  <xdr:cNvGrpSpPr/>
                </xdr:nvGrpSpPr>
                <xdr:grpSpPr>
                  <a:xfrm>
                    <a:off x="6667500" y="885824"/>
                    <a:ext cx="1427781" cy="809626"/>
                    <a:chOff x="3714750" y="4895849"/>
                    <a:chExt cx="1427781" cy="809626"/>
                  </a:xfrm>
                </xdr:grpSpPr>
                <xdr:sp macro="" textlink="">
                  <xdr:nvSpPr>
                    <xdr:cNvPr id="23" name="TextBox 22"/>
                    <xdr:cNvSpPr txBox="1"/>
                  </xdr:nvSpPr>
                  <xdr:spPr>
                    <a:xfrm>
                      <a:off x="3732831" y="4895849"/>
                      <a:ext cx="1409700" cy="53340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lang="en-US" sz="1200" b="1"/>
                        <a:t>Residual annual risk exposure</a:t>
                      </a:r>
                    </a:p>
                  </xdr:txBody>
                </xdr:sp>
                <xdr:sp macro="" textlink="">
                  <xdr:nvSpPr>
                    <xdr:cNvPr id="24" name="TextBox 23"/>
                    <xdr:cNvSpPr txBox="1"/>
                  </xdr:nvSpPr>
                  <xdr:spPr>
                    <a:xfrm>
                      <a:off x="3714750" y="5381625"/>
                      <a:ext cx="1419225" cy="323850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lang="en-US" sz="1800" b="1"/>
                        <a:t>$8,037,500</a:t>
                      </a:r>
                    </a:p>
                  </xdr:txBody>
                </xdr:sp>
              </xdr:grpSp>
            </xdr:grpSp>
            <xdr:grpSp>
              <xdr:nvGrpSpPr>
                <xdr:cNvPr id="6" name="Group 5"/>
                <xdr:cNvGrpSpPr/>
              </xdr:nvGrpSpPr>
              <xdr:grpSpPr>
                <a:xfrm>
                  <a:off x="2515701" y="3161109"/>
                  <a:ext cx="2621400" cy="936000"/>
                  <a:chOff x="8755098" y="833437"/>
                  <a:chExt cx="1836000" cy="936000"/>
                </a:xfrm>
              </xdr:grpSpPr>
              <xdr:sp macro="" textlink="">
                <xdr:nvSpPr>
                  <xdr:cNvPr id="17" name="Rounded Rectangle 16"/>
                  <xdr:cNvSpPr/>
                </xdr:nvSpPr>
                <xdr:spPr>
                  <a:xfrm>
                    <a:off x="8755098" y="833437"/>
                    <a:ext cx="1836000" cy="936000"/>
                  </a:xfrm>
                  <a:prstGeom prst="roundRect">
                    <a:avLst/>
                  </a:prstGeom>
                  <a:solidFill>
                    <a:schemeClr val="accent2">
                      <a:lumMod val="40000"/>
                      <a:lumOff val="6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18" name="Group 17"/>
                  <xdr:cNvGrpSpPr/>
                </xdr:nvGrpSpPr>
                <xdr:grpSpPr>
                  <a:xfrm>
                    <a:off x="8878269" y="923925"/>
                    <a:ext cx="1495425" cy="790575"/>
                    <a:chOff x="3639519" y="6124575"/>
                    <a:chExt cx="1495425" cy="790575"/>
                  </a:xfrm>
                </xdr:grpSpPr>
                <xdr:sp macro="" textlink="">
                  <xdr:nvSpPr>
                    <xdr:cNvPr id="19" name="Text Box 1"/>
                    <xdr:cNvSpPr txBox="1">
                      <a:spLocks noChangeArrowheads="1"/>
                    </xdr:cNvSpPr>
                  </xdr:nvSpPr>
                  <xdr:spPr bwMode="auto">
                    <a:xfrm>
                      <a:off x="3762375" y="6124575"/>
                      <a:ext cx="1266825" cy="466725"/>
                    </a:xfrm>
                    <a:prstGeom prst="rect">
                      <a:avLst/>
                    </a:prstGeom>
                    <a:noFill/>
                    <a:ln w="9525">
                      <a:noFill/>
                      <a:miter lim="800000"/>
                      <a:headEnd/>
                      <a:tailEnd/>
                    </a:ln>
                  </xdr:spPr>
                  <xdr:txBody>
                    <a:bodyPr vertOverflow="clip" wrap="square" lIns="27432" tIns="27432" rIns="0" bIns="0" anchor="t" upright="1"/>
                    <a:lstStyle/>
                    <a:p>
                      <a:pPr algn="ctr" rtl="0">
                        <a:defRPr sz="1000"/>
                      </a:pPr>
                      <a:r>
                        <a:rPr lang="en-US" sz="1200" b="1" i="0" u="none" strike="noStrike" baseline="0">
                          <a:solidFill>
                            <a:srgbClr val="000000"/>
                          </a:solidFill>
                          <a:latin typeface="Calibri"/>
                          <a:ea typeface="Calibri"/>
                          <a:cs typeface="Calibri"/>
                        </a:rPr>
                        <a:t>Expected annual risk reduction</a:t>
                      </a:r>
                    </a:p>
                  </xdr:txBody>
                </xdr:sp>
                <xdr:sp macro="" textlink="">
                  <xdr:nvSpPr>
                    <xdr:cNvPr id="20" name="TextBox 19"/>
                    <xdr:cNvSpPr txBox="1"/>
                  </xdr:nvSpPr>
                  <xdr:spPr>
                    <a:xfrm>
                      <a:off x="3639519" y="6591300"/>
                      <a:ext cx="1495425" cy="323850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lang="en-US" sz="1800" b="1"/>
                        <a:t>$26,962,500</a:t>
                      </a:r>
                    </a:p>
                  </xdr:txBody>
                </xdr:sp>
              </xdr:grpSp>
            </xdr:grpSp>
            <xdr:grpSp>
              <xdr:nvGrpSpPr>
                <xdr:cNvPr id="7" name="Group 6"/>
                <xdr:cNvGrpSpPr/>
              </xdr:nvGrpSpPr>
              <xdr:grpSpPr>
                <a:xfrm>
                  <a:off x="2522413" y="4227314"/>
                  <a:ext cx="2621400" cy="936000"/>
                  <a:chOff x="7381217" y="2459831"/>
                  <a:chExt cx="1836000" cy="936000"/>
                </a:xfrm>
              </xdr:grpSpPr>
              <xdr:sp macro="" textlink="">
                <xdr:nvSpPr>
                  <xdr:cNvPr id="13" name="Rounded Rectangle 12"/>
                  <xdr:cNvSpPr/>
                </xdr:nvSpPr>
                <xdr:spPr>
                  <a:xfrm>
                    <a:off x="7381217" y="2459831"/>
                    <a:ext cx="1836000" cy="936000"/>
                  </a:xfrm>
                  <a:prstGeom prst="roundRect">
                    <a:avLst/>
                  </a:prstGeom>
                  <a:solidFill>
                    <a:schemeClr val="accent2">
                      <a:lumMod val="40000"/>
                      <a:lumOff val="6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14" name="Group 13"/>
                  <xdr:cNvGrpSpPr/>
                </xdr:nvGrpSpPr>
                <xdr:grpSpPr>
                  <a:xfrm>
                    <a:off x="7487620" y="2495550"/>
                    <a:ext cx="1609724" cy="752475"/>
                    <a:chOff x="3601420" y="4638675"/>
                    <a:chExt cx="1609724" cy="752475"/>
                  </a:xfrm>
                </xdr:grpSpPr>
                <xdr:sp macro="" textlink="">
                  <xdr:nvSpPr>
                    <xdr:cNvPr id="15" name="TextBox 14"/>
                    <xdr:cNvSpPr txBox="1"/>
                  </xdr:nvSpPr>
                  <xdr:spPr>
                    <a:xfrm>
                      <a:off x="3601420" y="4638675"/>
                      <a:ext cx="1609724" cy="514350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lang="en-US" sz="1200" b="1"/>
                        <a:t>Initial control investment</a:t>
                      </a:r>
                    </a:p>
                  </xdr:txBody>
                </xdr:sp>
                <xdr:sp macro="" textlink="">
                  <xdr:nvSpPr>
                    <xdr:cNvPr id="16" name="TextBox 15"/>
                    <xdr:cNvSpPr txBox="1"/>
                  </xdr:nvSpPr>
                  <xdr:spPr>
                    <a:xfrm>
                      <a:off x="3802414" y="5048250"/>
                      <a:ext cx="1219200" cy="342900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lang="en-US" sz="1800" b="1"/>
                        <a:t>$700,000</a:t>
                      </a:r>
                    </a:p>
                  </xdr:txBody>
                </xdr:sp>
              </xdr:grpSp>
            </xdr:grpSp>
            <xdr:grpSp>
              <xdr:nvGrpSpPr>
                <xdr:cNvPr id="8" name="Group 7"/>
                <xdr:cNvGrpSpPr/>
              </xdr:nvGrpSpPr>
              <xdr:grpSpPr>
                <a:xfrm>
                  <a:off x="2503200" y="5274470"/>
                  <a:ext cx="2630545" cy="955048"/>
                  <a:chOff x="3966488" y="5638801"/>
                  <a:chExt cx="1842405" cy="955048"/>
                </a:xfrm>
              </xdr:grpSpPr>
              <xdr:sp macro="" textlink="">
                <xdr:nvSpPr>
                  <xdr:cNvPr id="9" name="Rounded Rectangle 8"/>
                  <xdr:cNvSpPr/>
                </xdr:nvSpPr>
                <xdr:spPr>
                  <a:xfrm>
                    <a:off x="3972893" y="5657849"/>
                    <a:ext cx="1836000" cy="936000"/>
                  </a:xfrm>
                  <a:prstGeom prst="roundRect">
                    <a:avLst/>
                  </a:prstGeom>
                  <a:solidFill>
                    <a:schemeClr val="accent2">
                      <a:lumMod val="40000"/>
                      <a:lumOff val="6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10" name="Group 9"/>
                  <xdr:cNvGrpSpPr/>
                </xdr:nvGrpSpPr>
                <xdr:grpSpPr>
                  <a:xfrm>
                    <a:off x="3966488" y="5638801"/>
                    <a:ext cx="1805664" cy="933453"/>
                    <a:chOff x="3615309" y="5909120"/>
                    <a:chExt cx="728091" cy="517280"/>
                  </a:xfrm>
                </xdr:grpSpPr>
                <xdr:sp macro="" textlink="">
                  <xdr:nvSpPr>
                    <xdr:cNvPr id="11" name="TextBox 10"/>
                    <xdr:cNvSpPr txBox="1"/>
                  </xdr:nvSpPr>
                  <xdr:spPr>
                    <a:xfrm>
                      <a:off x="3629025" y="5909120"/>
                      <a:ext cx="714375" cy="290743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lang="en-US" sz="1200" b="1"/>
                        <a:t>Annual maintenance: $105,000</a:t>
                      </a:r>
                    </a:p>
                  </xdr:txBody>
                </xdr:sp>
                <xdr:sp macro="" textlink="">
                  <xdr:nvSpPr>
                    <xdr:cNvPr id="12" name="TextBox 11"/>
                    <xdr:cNvSpPr txBox="1"/>
                  </xdr:nvSpPr>
                  <xdr:spPr>
                    <a:xfrm>
                      <a:off x="3615309" y="6147080"/>
                      <a:ext cx="714375" cy="279320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lang="en-US" sz="1200" b="1"/>
                        <a:t>Total first-year cost</a:t>
                      </a:r>
                    </a:p>
                    <a:p>
                      <a:pPr algn="ctr"/>
                      <a:r>
                        <a:rPr lang="en-US" sz="1200" b="1"/>
                        <a:t>$805,000</a:t>
                      </a:r>
                    </a:p>
                  </xdr:txBody>
                </xdr:sp>
              </xdr:grpSp>
            </xdr:grpSp>
          </xdr:grpSp>
          <xdr:grpSp>
            <xdr:nvGrpSpPr>
              <xdr:cNvPr id="36" name="Group 35"/>
              <xdr:cNvGrpSpPr/>
            </xdr:nvGrpSpPr>
            <xdr:grpSpPr>
              <a:xfrm>
                <a:off x="5341589" y="1000125"/>
                <a:ext cx="7653392" cy="2657475"/>
                <a:chOff x="5288321" y="857250"/>
                <a:chExt cx="4338855" cy="2657475"/>
              </a:xfrm>
            </xdr:grpSpPr>
            <xdr:sp macro="" textlink="">
              <xdr:nvSpPr>
                <xdr:cNvPr id="35" name="Rounded Rectangle 34"/>
                <xdr:cNvSpPr/>
              </xdr:nvSpPr>
              <xdr:spPr>
                <a:xfrm>
                  <a:off x="5288321" y="857250"/>
                  <a:ext cx="4338855" cy="2657475"/>
                </a:xfrm>
                <a:prstGeom prst="roundRect">
                  <a:avLst/>
                </a:prstGeom>
                <a:solidFill>
                  <a:schemeClr val="accent2">
                    <a:lumMod val="40000"/>
                    <a:lumOff val="6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34" name="Chart 33"/>
                <xdr:cNvGraphicFramePr>
                  <a:graphicFrameLocks/>
                </xdr:cNvGraphicFramePr>
              </xdr:nvGraphicFramePr>
              <xdr:xfrm>
                <a:off x="5343524" y="1143000"/>
                <a:ext cx="4248151" cy="2333625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</xdr:grpSp>
          <xdr:grpSp>
            <xdr:nvGrpSpPr>
              <xdr:cNvPr id="38" name="Group 37"/>
              <xdr:cNvGrpSpPr/>
            </xdr:nvGrpSpPr>
            <xdr:grpSpPr>
              <a:xfrm>
                <a:off x="9210674" y="3790948"/>
                <a:ext cx="4010026" cy="2419201"/>
                <a:chOff x="9810749" y="1051356"/>
                <a:chExt cx="4572000" cy="2495552"/>
              </a:xfrm>
            </xdr:grpSpPr>
            <xdr:sp macro="" textlink="">
              <xdr:nvSpPr>
                <xdr:cNvPr id="32" name="Rounded Rectangle 31"/>
                <xdr:cNvSpPr/>
              </xdr:nvSpPr>
              <xdr:spPr>
                <a:xfrm>
                  <a:off x="9935295" y="1118934"/>
                  <a:ext cx="4248001" cy="2419350"/>
                </a:xfrm>
                <a:prstGeom prst="roundRect">
                  <a:avLst/>
                </a:prstGeom>
                <a:solidFill>
                  <a:schemeClr val="accent2">
                    <a:lumMod val="40000"/>
                    <a:lumOff val="6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37" name="Chart 36"/>
                <xdr:cNvGraphicFramePr>
                  <a:graphicFrameLocks/>
                </xdr:cNvGraphicFramePr>
              </xdr:nvGraphicFramePr>
              <xdr:xfrm>
                <a:off x="9810749" y="1051356"/>
                <a:ext cx="4572000" cy="249555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"/>
                </a:graphicData>
              </a:graphic>
            </xdr:graphicFrame>
          </xdr:grpSp>
          <xdr:grpSp>
            <xdr:nvGrpSpPr>
              <xdr:cNvPr id="40" name="Group 39"/>
              <xdr:cNvGrpSpPr/>
            </xdr:nvGrpSpPr>
            <xdr:grpSpPr>
              <a:xfrm>
                <a:off x="5225082" y="3790950"/>
                <a:ext cx="3985970" cy="2390625"/>
                <a:chOff x="5270210" y="3770183"/>
                <a:chExt cx="3578515" cy="2541373"/>
              </a:xfrm>
            </xdr:grpSpPr>
            <xdr:sp macro="" textlink="">
              <xdr:nvSpPr>
                <xdr:cNvPr id="31" name="Rounded Rectangle 30"/>
                <xdr:cNvSpPr/>
              </xdr:nvSpPr>
              <xdr:spPr>
                <a:xfrm>
                  <a:off x="5353050" y="3816006"/>
                  <a:ext cx="3495675" cy="2495550"/>
                </a:xfrm>
                <a:prstGeom prst="roundRect">
                  <a:avLst/>
                </a:prstGeom>
                <a:solidFill>
                  <a:schemeClr val="accent2">
                    <a:lumMod val="40000"/>
                    <a:lumOff val="6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39" name="Chart 38"/>
                <xdr:cNvGraphicFramePr>
                  <a:graphicFrameLocks/>
                </xdr:cNvGraphicFramePr>
              </xdr:nvGraphicFramePr>
              <xdr:xfrm>
                <a:off x="5270210" y="3770183"/>
                <a:ext cx="3467100" cy="25336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"/>
                </a:graphicData>
              </a:graphic>
            </xdr:graphicFrame>
          </xdr:grpSp>
        </xdr:grpSp>
        <xdr:sp macro="" textlink="">
          <xdr:nvSpPr>
            <xdr:cNvPr id="43" name="Rectangle 42"/>
            <xdr:cNvSpPr/>
          </xdr:nvSpPr>
          <xdr:spPr>
            <a:xfrm>
              <a:off x="2619375" y="200025"/>
              <a:ext cx="8401050" cy="485775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5" name="TextBox 44"/>
          <xdr:cNvSpPr txBox="1"/>
        </xdr:nvSpPr>
        <xdr:spPr>
          <a:xfrm>
            <a:off x="3686175" y="247649"/>
            <a:ext cx="6419849" cy="409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 b="1"/>
              <a:t>SecureMobile Cybersecurity Risk Dashboard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tabSelected="1" topLeftCell="A25" workbookViewId="0">
      <selection activeCell="G50" sqref="G50"/>
    </sheetView>
  </sheetViews>
  <sheetFormatPr defaultRowHeight="15" x14ac:dyDescent="0.25"/>
  <cols>
    <col min="1" max="1" width="31.28515625" customWidth="1"/>
    <col min="2" max="2" width="26" customWidth="1"/>
    <col min="3" max="3" width="23.28515625" customWidth="1"/>
    <col min="4" max="4" width="24.5703125" customWidth="1"/>
    <col min="5" max="5" width="23.42578125" customWidth="1"/>
    <col min="7" max="7" width="20.42578125" customWidth="1"/>
    <col min="8" max="8" width="19.140625" customWidth="1"/>
  </cols>
  <sheetData>
    <row r="1" spans="1:8" ht="42" customHeight="1" thickBot="1" x14ac:dyDescent="0.3">
      <c r="B1" s="69" t="s">
        <v>0</v>
      </c>
      <c r="C1" s="69"/>
      <c r="D1" s="69"/>
    </row>
    <row r="2" spans="1:8" ht="52.5" customHeight="1" thickBot="1" x14ac:dyDescent="0.35">
      <c r="B2" s="3" t="s">
        <v>1</v>
      </c>
      <c r="C2" s="39" t="s">
        <v>2</v>
      </c>
    </row>
    <row r="3" spans="1:8" ht="30" customHeight="1" thickBot="1" x14ac:dyDescent="0.35">
      <c r="B3" s="2" t="s">
        <v>3</v>
      </c>
      <c r="C3" s="1">
        <v>500000</v>
      </c>
    </row>
    <row r="4" spans="1:8" ht="35.25" thickBot="1" x14ac:dyDescent="0.35">
      <c r="B4" s="5" t="s">
        <v>4</v>
      </c>
      <c r="C4" s="6">
        <v>2500</v>
      </c>
    </row>
    <row r="5" spans="1:8" ht="26.25" customHeight="1" thickBot="1" x14ac:dyDescent="0.35">
      <c r="B5" s="3" t="s">
        <v>5</v>
      </c>
      <c r="C5" s="4">
        <v>50000</v>
      </c>
    </row>
    <row r="6" spans="1:8" ht="15.75" thickBot="1" x14ac:dyDescent="0.3"/>
    <row r="7" spans="1:8" ht="94.5" customHeight="1" thickBot="1" x14ac:dyDescent="0.3">
      <c r="A7" s="70" t="s">
        <v>6</v>
      </c>
      <c r="B7" s="70"/>
      <c r="C7" s="33"/>
      <c r="D7" s="70" t="s">
        <v>14</v>
      </c>
      <c r="E7" s="70"/>
      <c r="F7" s="33"/>
      <c r="G7" s="70" t="s">
        <v>19</v>
      </c>
      <c r="H7" s="70"/>
    </row>
    <row r="8" spans="1:8" ht="16.5" thickBot="1" x14ac:dyDescent="0.3">
      <c r="A8" s="8" t="s">
        <v>7</v>
      </c>
      <c r="B8" s="9">
        <v>15</v>
      </c>
      <c r="D8" s="8" t="s">
        <v>7</v>
      </c>
      <c r="E8" s="9">
        <v>25</v>
      </c>
      <c r="G8" s="8" t="s">
        <v>7</v>
      </c>
      <c r="H8" s="9">
        <v>40</v>
      </c>
    </row>
    <row r="9" spans="1:8" ht="31.5" customHeight="1" thickBot="1" x14ac:dyDescent="0.3">
      <c r="A9" s="8" t="s">
        <v>8</v>
      </c>
      <c r="B9" s="10" t="s">
        <v>9</v>
      </c>
      <c r="D9" s="8" t="s">
        <v>8</v>
      </c>
      <c r="E9" s="8" t="s">
        <v>15</v>
      </c>
      <c r="G9" s="8" t="s">
        <v>8</v>
      </c>
      <c r="H9" s="8" t="s">
        <v>20</v>
      </c>
    </row>
    <row r="10" spans="1:8" ht="34.5" customHeight="1" thickBot="1" x14ac:dyDescent="0.3">
      <c r="A10" s="8" t="s">
        <v>10</v>
      </c>
      <c r="B10" s="11" t="s">
        <v>11</v>
      </c>
      <c r="D10" s="8" t="s">
        <v>10</v>
      </c>
      <c r="E10" s="13" t="s">
        <v>16</v>
      </c>
      <c r="G10" s="8" t="s">
        <v>10</v>
      </c>
      <c r="H10" s="8" t="s">
        <v>21</v>
      </c>
    </row>
    <row r="11" spans="1:8" ht="31.5" thickBot="1" x14ac:dyDescent="0.3">
      <c r="A11" s="11" t="s">
        <v>12</v>
      </c>
      <c r="B11" s="12">
        <v>5000000</v>
      </c>
      <c r="D11" s="8" t="s">
        <v>17</v>
      </c>
      <c r="E11" s="14">
        <v>500000</v>
      </c>
      <c r="G11" s="8" t="s">
        <v>22</v>
      </c>
      <c r="H11" s="9">
        <v>5000</v>
      </c>
    </row>
    <row r="12" spans="1:8" ht="31.5" thickBot="1" x14ac:dyDescent="0.3">
      <c r="A12" s="11" t="s">
        <v>13</v>
      </c>
      <c r="B12" s="9">
        <v>48</v>
      </c>
      <c r="D12" s="8" t="s">
        <v>18</v>
      </c>
      <c r="E12" s="9">
        <v>250</v>
      </c>
      <c r="G12" s="11" t="s">
        <v>23</v>
      </c>
      <c r="H12" s="9">
        <v>1500</v>
      </c>
    </row>
    <row r="13" spans="1:8" ht="15.75" thickBot="1" x14ac:dyDescent="0.3">
      <c r="D13" s="7"/>
    </row>
    <row r="14" spans="1:8" ht="30.75" customHeight="1" thickBot="1" x14ac:dyDescent="0.3">
      <c r="A14" s="64" t="s">
        <v>31</v>
      </c>
      <c r="B14" s="65"/>
      <c r="C14" s="65"/>
      <c r="D14" s="66"/>
    </row>
    <row r="15" spans="1:8" ht="63" customHeight="1" thickBot="1" x14ac:dyDescent="0.3">
      <c r="A15" s="9" t="s">
        <v>30</v>
      </c>
      <c r="B15" s="16" t="s">
        <v>27</v>
      </c>
      <c r="C15" s="16" t="s">
        <v>28</v>
      </c>
      <c r="D15" s="16" t="s">
        <v>29</v>
      </c>
    </row>
    <row r="16" spans="1:8" ht="16.5" thickBot="1" x14ac:dyDescent="0.3">
      <c r="A16" s="8" t="s">
        <v>24</v>
      </c>
      <c r="B16" s="17">
        <v>350000</v>
      </c>
      <c r="C16" s="14">
        <v>150000</v>
      </c>
      <c r="D16" s="14">
        <v>200000</v>
      </c>
    </row>
    <row r="17" spans="1:5" ht="16.5" thickBot="1" x14ac:dyDescent="0.3">
      <c r="A17" s="8" t="s">
        <v>25</v>
      </c>
      <c r="B17" s="9">
        <f>90/100</f>
        <v>0.9</v>
      </c>
      <c r="C17" s="9">
        <f>75/100</f>
        <v>0.75</v>
      </c>
      <c r="D17" s="9">
        <f>95/100</f>
        <v>0.95</v>
      </c>
    </row>
    <row r="18" spans="1:5" ht="16.5" thickBot="1" x14ac:dyDescent="0.3">
      <c r="A18" s="8" t="s">
        <v>26</v>
      </c>
      <c r="B18" s="14">
        <v>50000</v>
      </c>
      <c r="C18" s="14">
        <v>25000</v>
      </c>
      <c r="D18" s="14">
        <v>30000</v>
      </c>
    </row>
    <row r="21" spans="1:5" ht="31.5" customHeight="1" thickBot="1" x14ac:dyDescent="0.3">
      <c r="A21" s="67" t="s">
        <v>32</v>
      </c>
      <c r="B21" s="67"/>
      <c r="C21" s="67"/>
      <c r="D21" s="67"/>
    </row>
    <row r="22" spans="1:5" ht="31.5" customHeight="1" thickBot="1" x14ac:dyDescent="0.3">
      <c r="A22" s="64" t="s">
        <v>33</v>
      </c>
      <c r="B22" s="65"/>
      <c r="C22" s="65"/>
      <c r="D22" s="66"/>
    </row>
    <row r="23" spans="1:5" ht="31.5" customHeight="1" thickBot="1" x14ac:dyDescent="0.3">
      <c r="A23" s="20"/>
      <c r="B23" s="18" t="s">
        <v>35</v>
      </c>
      <c r="C23" s="18" t="s">
        <v>36</v>
      </c>
      <c r="D23" s="18" t="s">
        <v>34</v>
      </c>
      <c r="E23" s="26"/>
    </row>
    <row r="24" spans="1:5" ht="43.5" customHeight="1" thickBot="1" x14ac:dyDescent="0.3">
      <c r="A24" s="18" t="s">
        <v>6</v>
      </c>
      <c r="B24" s="17">
        <v>5000000</v>
      </c>
      <c r="C24" s="21">
        <f>B8/100</f>
        <v>0.15</v>
      </c>
      <c r="D24" s="17">
        <f>B24*C24</f>
        <v>750000</v>
      </c>
      <c r="E24" s="7"/>
    </row>
    <row r="25" spans="1:5" ht="48" thickBot="1" x14ac:dyDescent="0.3">
      <c r="A25" s="18" t="s">
        <v>14</v>
      </c>
      <c r="B25" s="17">
        <f>E11*E12</f>
        <v>125000000</v>
      </c>
      <c r="C25" s="9">
        <f>E8/100</f>
        <v>0.25</v>
      </c>
      <c r="D25" s="22">
        <f>B25*C25</f>
        <v>31250000</v>
      </c>
      <c r="E25" s="7"/>
    </row>
    <row r="26" spans="1:5" ht="32.25" thickBot="1" x14ac:dyDescent="0.3">
      <c r="A26" s="18" t="s">
        <v>19</v>
      </c>
      <c r="B26" s="22">
        <f>H11*H12</f>
        <v>7500000</v>
      </c>
      <c r="C26" s="23">
        <f>H8/100</f>
        <v>0.4</v>
      </c>
      <c r="D26" s="22">
        <f>B26*C26</f>
        <v>3000000</v>
      </c>
      <c r="E26" s="7"/>
    </row>
    <row r="27" spans="1:5" ht="27.75" customHeight="1" thickBot="1" x14ac:dyDescent="0.3">
      <c r="A27" s="18" t="s">
        <v>38</v>
      </c>
      <c r="B27" s="24" t="s">
        <v>37</v>
      </c>
      <c r="C27" s="24" t="s">
        <v>37</v>
      </c>
      <c r="D27" s="22">
        <f>SUM(D24:D26)</f>
        <v>35000000</v>
      </c>
      <c r="E27" s="7"/>
    </row>
    <row r="29" spans="1:5" ht="16.5" thickBot="1" x14ac:dyDescent="0.3">
      <c r="A29" s="68" t="s">
        <v>42</v>
      </c>
      <c r="B29" s="68"/>
    </row>
    <row r="30" spans="1:5" ht="16.5" thickBot="1" x14ac:dyDescent="0.3">
      <c r="A30" s="27" t="s">
        <v>46</v>
      </c>
      <c r="B30" s="27" t="s">
        <v>34</v>
      </c>
      <c r="C30" s="27" t="s">
        <v>39</v>
      </c>
    </row>
    <row r="31" spans="1:5" ht="16.5" thickBot="1" x14ac:dyDescent="0.3">
      <c r="A31" s="25" t="s">
        <v>43</v>
      </c>
      <c r="B31" s="28">
        <v>31250000</v>
      </c>
      <c r="C31" s="9" t="s">
        <v>41</v>
      </c>
    </row>
    <row r="32" spans="1:5" ht="16.5" thickBot="1" x14ac:dyDescent="0.3">
      <c r="A32" s="25" t="s">
        <v>44</v>
      </c>
      <c r="B32" s="28">
        <v>3000000</v>
      </c>
      <c r="C32" s="9" t="s">
        <v>41</v>
      </c>
    </row>
    <row r="33" spans="1:4" ht="16.5" thickBot="1" x14ac:dyDescent="0.3">
      <c r="A33" s="25" t="s">
        <v>45</v>
      </c>
      <c r="B33" s="28">
        <v>750000</v>
      </c>
      <c r="C33" s="9" t="s">
        <v>40</v>
      </c>
    </row>
    <row r="34" spans="1:4" x14ac:dyDescent="0.25">
      <c r="B34" s="15"/>
      <c r="C34" s="15"/>
    </row>
    <row r="35" spans="1:4" ht="15.75" x14ac:dyDescent="0.25">
      <c r="A35" s="68" t="s">
        <v>47</v>
      </c>
      <c r="B35" s="68"/>
    </row>
    <row r="36" spans="1:4" ht="15.75" x14ac:dyDescent="0.25">
      <c r="A36" s="29" t="s">
        <v>48</v>
      </c>
      <c r="B36" s="19"/>
      <c r="C36" s="19"/>
      <c r="D36" s="15"/>
    </row>
    <row r="54" spans="1:2" ht="31.5" customHeight="1" thickBot="1" x14ac:dyDescent="0.3">
      <c r="A54" s="62" t="s">
        <v>49</v>
      </c>
      <c r="B54" s="62"/>
    </row>
    <row r="55" spans="1:2" ht="15.75" thickBot="1" x14ac:dyDescent="0.3">
      <c r="A55" s="30" t="s">
        <v>46</v>
      </c>
      <c r="B55" s="30" t="s">
        <v>51</v>
      </c>
    </row>
    <row r="56" spans="1:2" ht="15.75" thickBot="1" x14ac:dyDescent="0.3">
      <c r="A56" s="9" t="s">
        <v>50</v>
      </c>
      <c r="B56" s="31">
        <f>D24/D27 *100</f>
        <v>2.1428571428571428</v>
      </c>
    </row>
    <row r="57" spans="1:2" ht="15.75" thickBot="1" x14ac:dyDescent="0.3">
      <c r="A57" s="9" t="s">
        <v>43</v>
      </c>
      <c r="B57" s="31">
        <f>D25/D27 *100</f>
        <v>89.285714285714292</v>
      </c>
    </row>
    <row r="58" spans="1:2" ht="15.75" thickBot="1" x14ac:dyDescent="0.3">
      <c r="A58" s="9" t="s">
        <v>44</v>
      </c>
      <c r="B58" s="31">
        <f>D26/D27*100</f>
        <v>8.5714285714285712</v>
      </c>
    </row>
    <row r="75" spans="1:5" ht="16.5" thickBot="1" x14ac:dyDescent="0.3">
      <c r="A75" s="29" t="s">
        <v>52</v>
      </c>
    </row>
    <row r="76" spans="1:5" ht="15.75" thickBot="1" x14ac:dyDescent="0.3">
      <c r="A76" s="30" t="s">
        <v>53</v>
      </c>
      <c r="B76" s="30" t="s">
        <v>54</v>
      </c>
      <c r="C76" s="30" t="s">
        <v>55</v>
      </c>
      <c r="D76" s="30" t="s">
        <v>57</v>
      </c>
      <c r="E76" s="30" t="s">
        <v>56</v>
      </c>
    </row>
    <row r="77" spans="1:5" ht="15.75" thickBot="1" x14ac:dyDescent="0.3">
      <c r="A77" s="9" t="s">
        <v>50</v>
      </c>
      <c r="B77" s="9">
        <v>1</v>
      </c>
      <c r="C77" s="9">
        <v>4</v>
      </c>
      <c r="D77" s="34">
        <v>4</v>
      </c>
      <c r="E77" s="38" t="s">
        <v>58</v>
      </c>
    </row>
    <row r="78" spans="1:5" ht="15.75" thickBot="1" x14ac:dyDescent="0.3">
      <c r="A78" s="9" t="s">
        <v>43</v>
      </c>
      <c r="B78" s="9">
        <v>2</v>
      </c>
      <c r="C78" s="9">
        <v>5</v>
      </c>
      <c r="D78" s="35">
        <v>10</v>
      </c>
      <c r="E78" s="36" t="s">
        <v>41</v>
      </c>
    </row>
    <row r="79" spans="1:5" ht="15.75" thickBot="1" x14ac:dyDescent="0.3">
      <c r="A79" s="9" t="s">
        <v>44</v>
      </c>
      <c r="B79" s="9">
        <v>3</v>
      </c>
      <c r="C79" s="9">
        <v>4</v>
      </c>
      <c r="D79" s="37">
        <v>12</v>
      </c>
      <c r="E79" s="36" t="s">
        <v>41</v>
      </c>
    </row>
    <row r="80" spans="1:5" ht="15.75" thickBot="1" x14ac:dyDescent="0.3"/>
    <row r="81" spans="1:2" ht="15.75" thickBot="1" x14ac:dyDescent="0.3">
      <c r="A81" s="63" t="s">
        <v>59</v>
      </c>
      <c r="B81" s="63"/>
    </row>
    <row r="82" spans="1:2" ht="15.75" thickBot="1" x14ac:dyDescent="0.3">
      <c r="A82" s="32" t="s">
        <v>65</v>
      </c>
      <c r="B82" s="32" t="s">
        <v>56</v>
      </c>
    </row>
    <row r="83" spans="1:2" ht="15.75" thickBot="1" x14ac:dyDescent="0.3">
      <c r="A83" s="32" t="s">
        <v>60</v>
      </c>
      <c r="B83" s="32" t="s">
        <v>68</v>
      </c>
    </row>
    <row r="84" spans="1:2" ht="15.75" thickBot="1" x14ac:dyDescent="0.3">
      <c r="A84" s="32" t="s">
        <v>61</v>
      </c>
      <c r="B84" s="32" t="s">
        <v>67</v>
      </c>
    </row>
    <row r="85" spans="1:2" ht="15.75" thickBot="1" x14ac:dyDescent="0.3">
      <c r="A85" s="32" t="s">
        <v>62</v>
      </c>
      <c r="B85" s="32" t="s">
        <v>66</v>
      </c>
    </row>
    <row r="86" spans="1:2" ht="15.75" thickBot="1" x14ac:dyDescent="0.3">
      <c r="A86" s="32" t="s">
        <v>63</v>
      </c>
      <c r="B86" s="32" t="s">
        <v>70</v>
      </c>
    </row>
    <row r="87" spans="1:2" ht="15.75" thickBot="1" x14ac:dyDescent="0.3">
      <c r="A87" s="32" t="s">
        <v>64</v>
      </c>
      <c r="B87" s="32" t="s">
        <v>69</v>
      </c>
    </row>
  </sheetData>
  <mergeCells count="11">
    <mergeCell ref="B1:D1"/>
    <mergeCell ref="A7:B7"/>
    <mergeCell ref="D7:E7"/>
    <mergeCell ref="G7:H7"/>
    <mergeCell ref="A14:D14"/>
    <mergeCell ref="A54:B54"/>
    <mergeCell ref="A81:B81"/>
    <mergeCell ref="A22:D22"/>
    <mergeCell ref="A21:D21"/>
    <mergeCell ref="A29:B29"/>
    <mergeCell ref="A35:B3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J31" sqref="J31"/>
    </sheetView>
  </sheetViews>
  <sheetFormatPr defaultRowHeight="15" x14ac:dyDescent="0.25"/>
  <cols>
    <col min="1" max="1" width="30" customWidth="1"/>
    <col min="2" max="2" width="22.7109375" customWidth="1"/>
    <col min="3" max="3" width="27.28515625" customWidth="1"/>
    <col min="4" max="4" width="23.85546875" customWidth="1"/>
    <col min="5" max="5" width="17.5703125" customWidth="1"/>
    <col min="6" max="6" width="26.7109375" customWidth="1"/>
  </cols>
  <sheetData>
    <row r="1" spans="1:6" ht="16.5" thickBot="1" x14ac:dyDescent="0.3">
      <c r="A1" s="64" t="s">
        <v>31</v>
      </c>
      <c r="B1" s="65"/>
      <c r="C1" s="65"/>
      <c r="D1" s="66"/>
    </row>
    <row r="2" spans="1:6" ht="101.25" customHeight="1" thickBot="1" x14ac:dyDescent="0.3">
      <c r="A2" s="9" t="s">
        <v>30</v>
      </c>
      <c r="B2" s="16" t="s">
        <v>27</v>
      </c>
      <c r="C2" s="16" t="s">
        <v>28</v>
      </c>
      <c r="D2" s="16" t="s">
        <v>29</v>
      </c>
    </row>
    <row r="3" spans="1:6" ht="23.25" customHeight="1" thickBot="1" x14ac:dyDescent="0.3">
      <c r="A3" s="8" t="s">
        <v>24</v>
      </c>
      <c r="B3" s="17">
        <v>350000</v>
      </c>
      <c r="C3" s="14">
        <v>150000</v>
      </c>
      <c r="D3" s="14">
        <v>200000</v>
      </c>
    </row>
    <row r="4" spans="1:6" ht="26.25" customHeight="1" thickBot="1" x14ac:dyDescent="0.3">
      <c r="A4" s="8" t="s">
        <v>25</v>
      </c>
      <c r="B4" s="9">
        <f>90/100</f>
        <v>0.9</v>
      </c>
      <c r="C4" s="9">
        <f>75/100</f>
        <v>0.75</v>
      </c>
      <c r="D4" s="9">
        <f>95/100</f>
        <v>0.95</v>
      </c>
    </row>
    <row r="5" spans="1:6" ht="24" customHeight="1" thickBot="1" x14ac:dyDescent="0.3">
      <c r="A5" s="8" t="s">
        <v>26</v>
      </c>
      <c r="B5" s="14">
        <v>50000</v>
      </c>
      <c r="C5" s="14">
        <v>25000</v>
      </c>
      <c r="D5" s="14">
        <v>30000</v>
      </c>
    </row>
    <row r="6" spans="1:6" ht="18" customHeight="1" x14ac:dyDescent="0.25"/>
    <row r="7" spans="1:6" ht="34.5" customHeight="1" x14ac:dyDescent="0.25">
      <c r="A7" t="s">
        <v>71</v>
      </c>
      <c r="B7" s="72" t="s">
        <v>72</v>
      </c>
      <c r="C7" s="72"/>
      <c r="D7" s="72"/>
      <c r="E7" s="72"/>
    </row>
    <row r="8" spans="1:6" ht="24" customHeight="1" thickBot="1" x14ac:dyDescent="0.3">
      <c r="A8" s="68" t="s">
        <v>73</v>
      </c>
      <c r="B8" s="68"/>
    </row>
    <row r="9" spans="1:6" ht="30.75" thickBot="1" x14ac:dyDescent="0.3">
      <c r="A9" s="30"/>
      <c r="B9" s="30" t="s">
        <v>75</v>
      </c>
      <c r="C9" s="30" t="s">
        <v>76</v>
      </c>
      <c r="D9" s="30" t="s">
        <v>77</v>
      </c>
      <c r="E9" s="46" t="s">
        <v>80</v>
      </c>
      <c r="F9" s="9"/>
    </row>
    <row r="10" spans="1:6" ht="36.75" customHeight="1" thickBot="1" x14ac:dyDescent="0.3">
      <c r="A10" s="46" t="s">
        <v>74</v>
      </c>
      <c r="B10" s="17">
        <f>750000*B4</f>
        <v>675000</v>
      </c>
      <c r="C10" s="22">
        <f>B3+B5</f>
        <v>400000</v>
      </c>
      <c r="D10" s="41">
        <f>(B10-C10)/C10 * 100</f>
        <v>68.75</v>
      </c>
      <c r="E10" s="42">
        <f>B3/(B10-B5)</f>
        <v>0.56000000000000005</v>
      </c>
      <c r="F10" s="40" t="s">
        <v>81</v>
      </c>
    </row>
    <row r="11" spans="1:6" ht="30.75" thickBot="1" x14ac:dyDescent="0.3">
      <c r="A11" s="46" t="s">
        <v>78</v>
      </c>
      <c r="B11" s="17">
        <f>31250000*C4</f>
        <v>23437500</v>
      </c>
      <c r="C11" s="14">
        <f>C3+C5</f>
        <v>175000</v>
      </c>
      <c r="D11" s="43">
        <f>(B11-C11)/C11*100</f>
        <v>13292.857142857141</v>
      </c>
      <c r="E11" s="44">
        <f>C3/(B11-C5)</f>
        <v>6.4068339562199676E-3</v>
      </c>
      <c r="F11" s="9" t="s">
        <v>82</v>
      </c>
    </row>
    <row r="12" spans="1:6" ht="45.75" thickBot="1" x14ac:dyDescent="0.3">
      <c r="A12" s="46" t="s">
        <v>79</v>
      </c>
      <c r="B12" s="17">
        <f xml:space="preserve"> 3000000*D4</f>
        <v>2850000</v>
      </c>
      <c r="C12" s="14">
        <f>D3+D5</f>
        <v>230000</v>
      </c>
      <c r="D12" s="45">
        <f>(B12-C12)/C12*100</f>
        <v>1139.1304347826087</v>
      </c>
      <c r="E12" s="44">
        <f>D3/(B12-D5)</f>
        <v>7.0921985815602842E-2</v>
      </c>
      <c r="F12" s="9" t="s">
        <v>83</v>
      </c>
    </row>
    <row r="14" spans="1:6" ht="15.75" x14ac:dyDescent="0.25">
      <c r="A14" s="72" t="s">
        <v>84</v>
      </c>
      <c r="B14" s="72"/>
    </row>
    <row r="15" spans="1:6" ht="28.5" customHeight="1" thickBot="1" x14ac:dyDescent="0.3">
      <c r="A15" s="73" t="s">
        <v>90</v>
      </c>
      <c r="B15" s="73"/>
    </row>
    <row r="16" spans="1:6" ht="15.75" thickBot="1" x14ac:dyDescent="0.3">
      <c r="A16" s="47" t="s">
        <v>85</v>
      </c>
      <c r="B16" s="9" t="s">
        <v>87</v>
      </c>
      <c r="C16" s="9" t="s">
        <v>86</v>
      </c>
    </row>
    <row r="17" spans="1:3" ht="15.75" thickBot="1" x14ac:dyDescent="0.3">
      <c r="A17" s="9" t="s">
        <v>88</v>
      </c>
      <c r="B17" s="17">
        <v>350000</v>
      </c>
      <c r="C17" s="9">
        <v>90</v>
      </c>
    </row>
    <row r="18" spans="1:3" ht="15.75" thickBot="1" x14ac:dyDescent="0.3">
      <c r="A18" s="9" t="s">
        <v>28</v>
      </c>
      <c r="B18" s="14">
        <v>150000</v>
      </c>
      <c r="C18" s="9">
        <v>75</v>
      </c>
    </row>
    <row r="19" spans="1:3" ht="15.75" thickBot="1" x14ac:dyDescent="0.3">
      <c r="A19" s="9" t="s">
        <v>89</v>
      </c>
      <c r="B19" s="14">
        <v>200000</v>
      </c>
      <c r="C19" s="9">
        <v>95</v>
      </c>
    </row>
    <row r="29" spans="1:3" ht="15.75" thickBot="1" x14ac:dyDescent="0.3"/>
    <row r="30" spans="1:3" ht="16.5" thickBot="1" x14ac:dyDescent="0.3">
      <c r="A30" s="74" t="s">
        <v>91</v>
      </c>
      <c r="B30" s="74"/>
    </row>
    <row r="31" spans="1:3" ht="15.75" thickBot="1" x14ac:dyDescent="0.3">
      <c r="A31" s="48" t="s">
        <v>85</v>
      </c>
      <c r="B31" s="9" t="s">
        <v>92</v>
      </c>
    </row>
    <row r="32" spans="1:3" ht="15.75" thickBot="1" x14ac:dyDescent="0.3">
      <c r="A32" s="9" t="s">
        <v>88</v>
      </c>
      <c r="B32" s="42">
        <f t="shared" ref="B32:B34" si="0">D10</f>
        <v>68.75</v>
      </c>
    </row>
    <row r="33" spans="1:5" ht="15.75" thickBot="1" x14ac:dyDescent="0.3">
      <c r="A33" s="9" t="s">
        <v>28</v>
      </c>
      <c r="B33" s="42">
        <f t="shared" si="0"/>
        <v>13292.857142857141</v>
      </c>
    </row>
    <row r="34" spans="1:5" ht="15.75" thickBot="1" x14ac:dyDescent="0.3">
      <c r="A34" s="9" t="s">
        <v>89</v>
      </c>
      <c r="B34" s="42">
        <f t="shared" si="0"/>
        <v>1139.1304347826087</v>
      </c>
    </row>
    <row r="42" spans="1:5" ht="15.75" thickBot="1" x14ac:dyDescent="0.3"/>
    <row r="43" spans="1:5" ht="16.5" thickBot="1" x14ac:dyDescent="0.3">
      <c r="A43" s="71" t="s">
        <v>93</v>
      </c>
      <c r="B43" s="71"/>
    </row>
    <row r="44" spans="1:5" ht="15.75" thickBot="1" x14ac:dyDescent="0.3">
      <c r="A44" s="9" t="s">
        <v>94</v>
      </c>
      <c r="B44" s="9" t="s">
        <v>95</v>
      </c>
      <c r="C44" s="9" t="s">
        <v>96</v>
      </c>
      <c r="D44" s="9" t="s">
        <v>97</v>
      </c>
      <c r="E44" s="9" t="s">
        <v>98</v>
      </c>
    </row>
    <row r="45" spans="1:5" ht="15.75" thickBot="1" x14ac:dyDescent="0.3">
      <c r="A45" s="9">
        <v>1</v>
      </c>
      <c r="B45" s="14">
        <v>675000</v>
      </c>
      <c r="C45" s="14">
        <v>23437500</v>
      </c>
      <c r="D45" s="14">
        <v>2850000</v>
      </c>
      <c r="E45" s="14">
        <f>SUM(B45:D45)</f>
        <v>26962500</v>
      </c>
    </row>
    <row r="46" spans="1:5" ht="15.75" thickBot="1" x14ac:dyDescent="0.3">
      <c r="A46" s="9">
        <v>2</v>
      </c>
      <c r="B46" s="14">
        <v>1350000</v>
      </c>
      <c r="C46" s="14">
        <v>46875000</v>
      </c>
      <c r="D46" s="14">
        <v>5700000</v>
      </c>
      <c r="E46" s="14">
        <f>SUM(B46:D46)</f>
        <v>53925000</v>
      </c>
    </row>
    <row r="47" spans="1:5" ht="15.75" thickBot="1" x14ac:dyDescent="0.3">
      <c r="A47" s="9">
        <v>3</v>
      </c>
      <c r="B47" s="14">
        <v>2025000</v>
      </c>
      <c r="C47" s="14">
        <v>70312500</v>
      </c>
      <c r="D47" s="14">
        <v>8550000</v>
      </c>
      <c r="E47" s="14">
        <f>SUM(B47:D47)</f>
        <v>80887500</v>
      </c>
    </row>
  </sheetData>
  <mergeCells count="7">
    <mergeCell ref="A43:B43"/>
    <mergeCell ref="B7:E7"/>
    <mergeCell ref="A8:B8"/>
    <mergeCell ref="A1:D1"/>
    <mergeCell ref="A14:B14"/>
    <mergeCell ref="A15:B15"/>
    <mergeCell ref="A30:B30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selection activeCell="O15" sqref="O15"/>
    </sheetView>
  </sheetViews>
  <sheetFormatPr defaultRowHeight="15" x14ac:dyDescent="0.25"/>
  <cols>
    <col min="1" max="1" width="31.42578125" customWidth="1"/>
    <col min="2" max="2" width="17.85546875" customWidth="1"/>
    <col min="3" max="3" width="19" customWidth="1"/>
    <col min="4" max="4" width="16.140625" customWidth="1"/>
  </cols>
  <sheetData>
    <row r="1" spans="1:7" ht="35.25" customHeight="1" x14ac:dyDescent="0.25">
      <c r="B1" s="72" t="s">
        <v>99</v>
      </c>
      <c r="C1" s="72"/>
      <c r="D1" s="72"/>
      <c r="E1" s="72"/>
      <c r="F1" s="72"/>
      <c r="G1" s="72"/>
    </row>
    <row r="2" spans="1:7" ht="18.75" x14ac:dyDescent="0.3">
      <c r="A2" s="78" t="s">
        <v>100</v>
      </c>
      <c r="B2" s="79"/>
      <c r="C2" s="79"/>
      <c r="D2" s="80"/>
      <c r="E2" s="51"/>
    </row>
    <row r="3" spans="1:7" x14ac:dyDescent="0.25">
      <c r="A3" s="52" t="s">
        <v>46</v>
      </c>
      <c r="B3" s="52" t="s">
        <v>101</v>
      </c>
      <c r="C3" s="52" t="s">
        <v>35</v>
      </c>
      <c r="D3" s="52" t="s">
        <v>34</v>
      </c>
    </row>
    <row r="4" spans="1:7" x14ac:dyDescent="0.25">
      <c r="A4" s="49" t="s">
        <v>102</v>
      </c>
      <c r="B4" s="50">
        <v>0.25</v>
      </c>
      <c r="C4" s="49" t="s">
        <v>103</v>
      </c>
      <c r="D4" s="49" t="s">
        <v>104</v>
      </c>
    </row>
    <row r="5" spans="1:7" x14ac:dyDescent="0.25">
      <c r="A5" s="49" t="s">
        <v>105</v>
      </c>
      <c r="B5" s="50">
        <v>0.4</v>
      </c>
      <c r="C5" s="49" t="s">
        <v>106</v>
      </c>
      <c r="D5" s="49" t="s">
        <v>107</v>
      </c>
    </row>
    <row r="6" spans="1:7" x14ac:dyDescent="0.25">
      <c r="A6" s="49" t="s">
        <v>108</v>
      </c>
      <c r="B6" s="50">
        <v>0.15</v>
      </c>
      <c r="C6" s="49" t="s">
        <v>109</v>
      </c>
      <c r="D6" s="49" t="s">
        <v>110</v>
      </c>
    </row>
    <row r="8" spans="1:7" ht="18.75" x14ac:dyDescent="0.3">
      <c r="A8" s="81" t="s">
        <v>111</v>
      </c>
      <c r="B8" s="81"/>
      <c r="C8" s="81"/>
    </row>
    <row r="9" spans="1:7" x14ac:dyDescent="0.25">
      <c r="A9" s="53" t="s">
        <v>46</v>
      </c>
      <c r="B9" s="53" t="s">
        <v>112</v>
      </c>
      <c r="C9" s="53" t="s">
        <v>113</v>
      </c>
    </row>
    <row r="10" spans="1:7" ht="30" x14ac:dyDescent="0.25">
      <c r="A10" s="54" t="s">
        <v>108</v>
      </c>
      <c r="B10" s="56">
        <v>750000</v>
      </c>
      <c r="C10" s="56">
        <v>75000</v>
      </c>
    </row>
    <row r="11" spans="1:7" x14ac:dyDescent="0.25">
      <c r="A11" s="49" t="s">
        <v>102</v>
      </c>
      <c r="B11" s="56">
        <v>31250000</v>
      </c>
      <c r="C11" s="56">
        <v>7812500</v>
      </c>
    </row>
    <row r="12" spans="1:7" x14ac:dyDescent="0.25">
      <c r="A12" s="49" t="s">
        <v>105</v>
      </c>
      <c r="B12" s="56">
        <v>3000000</v>
      </c>
      <c r="C12" s="56">
        <v>150000</v>
      </c>
    </row>
    <row r="13" spans="1:7" x14ac:dyDescent="0.25">
      <c r="A13" s="7"/>
      <c r="B13" s="7"/>
      <c r="C13" s="7"/>
    </row>
    <row r="15" spans="1:7" ht="34.5" customHeight="1" x14ac:dyDescent="0.3">
      <c r="A15" s="75" t="s">
        <v>114</v>
      </c>
      <c r="B15" s="75"/>
      <c r="C15" s="75"/>
    </row>
    <row r="16" spans="1:7" ht="31.5" x14ac:dyDescent="0.25">
      <c r="A16" s="57" t="s">
        <v>115</v>
      </c>
      <c r="B16" s="57" t="s">
        <v>116</v>
      </c>
      <c r="C16" s="58" t="s">
        <v>117</v>
      </c>
    </row>
    <row r="17" spans="1:3" x14ac:dyDescent="0.25">
      <c r="A17" s="49" t="s">
        <v>88</v>
      </c>
      <c r="B17" s="56">
        <v>350000</v>
      </c>
      <c r="C17" s="56">
        <v>50000</v>
      </c>
    </row>
    <row r="18" spans="1:3" ht="30" x14ac:dyDescent="0.25">
      <c r="A18" s="54" t="s">
        <v>28</v>
      </c>
      <c r="B18" s="56">
        <v>150000</v>
      </c>
      <c r="C18" s="56">
        <v>25000</v>
      </c>
    </row>
    <row r="19" spans="1:3" x14ac:dyDescent="0.25">
      <c r="A19" s="49" t="s">
        <v>89</v>
      </c>
      <c r="B19" s="56">
        <v>200000</v>
      </c>
      <c r="C19" s="56">
        <v>30000</v>
      </c>
    </row>
    <row r="20" spans="1:3" x14ac:dyDescent="0.25">
      <c r="A20" s="49" t="s">
        <v>118</v>
      </c>
      <c r="B20" s="56">
        <v>700000</v>
      </c>
      <c r="C20" s="56">
        <v>105000</v>
      </c>
    </row>
    <row r="23" spans="1:3" ht="40.5" customHeight="1" x14ac:dyDescent="0.3">
      <c r="A23" s="75" t="s">
        <v>119</v>
      </c>
      <c r="B23" s="75"/>
      <c r="C23" s="61"/>
    </row>
    <row r="24" spans="1:3" x14ac:dyDescent="0.25">
      <c r="A24" s="53" t="s">
        <v>115</v>
      </c>
      <c r="B24" s="53" t="s">
        <v>92</v>
      </c>
    </row>
    <row r="25" spans="1:3" x14ac:dyDescent="0.25">
      <c r="A25" s="49" t="s">
        <v>88</v>
      </c>
      <c r="B25" s="59">
        <v>68.75</v>
      </c>
    </row>
    <row r="26" spans="1:3" ht="30" x14ac:dyDescent="0.25">
      <c r="A26" s="54" t="s">
        <v>28</v>
      </c>
      <c r="B26" s="60">
        <v>13292.86</v>
      </c>
    </row>
    <row r="27" spans="1:3" x14ac:dyDescent="0.25">
      <c r="A27" s="49" t="s">
        <v>89</v>
      </c>
      <c r="B27" s="60">
        <v>1139.1300000000001</v>
      </c>
    </row>
    <row r="45" spans="1:3" ht="15.75" x14ac:dyDescent="0.25">
      <c r="A45" s="77" t="s">
        <v>133</v>
      </c>
      <c r="B45" s="77"/>
      <c r="C45" s="77"/>
    </row>
    <row r="46" spans="1:3" ht="18.75" x14ac:dyDescent="0.3">
      <c r="A46" s="76" t="s">
        <v>120</v>
      </c>
      <c r="B46" s="76"/>
    </row>
    <row r="47" spans="1:3" x14ac:dyDescent="0.25">
      <c r="A47" s="55" t="s">
        <v>121</v>
      </c>
      <c r="B47" s="53" t="s">
        <v>122</v>
      </c>
      <c r="C47" s="53" t="s">
        <v>123</v>
      </c>
    </row>
    <row r="48" spans="1:3" ht="30" x14ac:dyDescent="0.25">
      <c r="A48" s="54" t="s">
        <v>124</v>
      </c>
      <c r="B48" s="49">
        <v>1</v>
      </c>
      <c r="C48" s="49">
        <v>10</v>
      </c>
    </row>
    <row r="49" spans="1:3" ht="30" x14ac:dyDescent="0.25">
      <c r="A49" s="54" t="s">
        <v>125</v>
      </c>
      <c r="B49" s="49">
        <v>1</v>
      </c>
      <c r="C49" s="49">
        <v>30</v>
      </c>
    </row>
    <row r="50" spans="1:3" ht="30" x14ac:dyDescent="0.25">
      <c r="A50" s="54" t="s">
        <v>126</v>
      </c>
      <c r="B50" s="49">
        <v>1</v>
      </c>
      <c r="C50" s="49">
        <v>30</v>
      </c>
    </row>
    <row r="51" spans="1:3" x14ac:dyDescent="0.25">
      <c r="A51" s="54" t="s">
        <v>127</v>
      </c>
      <c r="B51" s="49">
        <v>31</v>
      </c>
      <c r="C51" s="49">
        <v>30</v>
      </c>
    </row>
    <row r="52" spans="1:3" x14ac:dyDescent="0.25">
      <c r="A52" s="54" t="s">
        <v>128</v>
      </c>
      <c r="B52" s="49">
        <v>31</v>
      </c>
      <c r="C52" s="49">
        <v>45</v>
      </c>
    </row>
    <row r="53" spans="1:3" x14ac:dyDescent="0.25">
      <c r="A53" s="54" t="s">
        <v>129</v>
      </c>
      <c r="B53" s="49">
        <v>31</v>
      </c>
      <c r="C53" s="49">
        <v>60</v>
      </c>
    </row>
    <row r="54" spans="1:3" ht="30" x14ac:dyDescent="0.25">
      <c r="A54" s="54" t="s">
        <v>130</v>
      </c>
      <c r="B54" s="49">
        <v>76</v>
      </c>
      <c r="C54" s="49">
        <v>15</v>
      </c>
    </row>
    <row r="55" spans="1:3" ht="30" x14ac:dyDescent="0.25">
      <c r="A55" s="54" t="s">
        <v>131</v>
      </c>
      <c r="B55" s="49">
        <v>91</v>
      </c>
      <c r="C55" s="49">
        <v>90</v>
      </c>
    </row>
    <row r="56" spans="1:3" ht="30" x14ac:dyDescent="0.25">
      <c r="A56" s="54" t="s">
        <v>132</v>
      </c>
      <c r="B56" s="49">
        <v>181</v>
      </c>
      <c r="C56" s="49">
        <v>184</v>
      </c>
    </row>
  </sheetData>
  <mergeCells count="7">
    <mergeCell ref="A23:B23"/>
    <mergeCell ref="A46:B46"/>
    <mergeCell ref="A45:C45"/>
    <mergeCell ref="B1:G1"/>
    <mergeCell ref="A2:D2"/>
    <mergeCell ref="A8:C8"/>
    <mergeCell ref="A15:C1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X6" sqref="X6"/>
    </sheetView>
  </sheetViews>
  <sheetFormatPr defaultRowHeight="15" x14ac:dyDescent="0.25"/>
  <sheetData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Phase 1 RISK EXPOSURE CAL.</vt:lpstr>
      <vt:lpstr>Phase 2  Control Evaluation</vt:lpstr>
      <vt:lpstr>Phase 3  Executive Reporting</vt:lpstr>
      <vt:lpstr>Executive 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Miracle Nwadiaru</dc:creator>
  <cp:lastModifiedBy>Miracle Nwadiaru</cp:lastModifiedBy>
  <dcterms:created xsi:type="dcterms:W3CDTF">2026-10-27T06:54:15Z</dcterms:created>
  <dcterms:modified xsi:type="dcterms:W3CDTF">2026-10-30T07:04:50Z</dcterms:modified>
</cp:coreProperties>
</file>